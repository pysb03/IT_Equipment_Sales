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งาน_Workspace\SQL + EXCEL + PoweBI\.Portfolio\IT Equipment Sales\"/>
    </mc:Choice>
  </mc:AlternateContent>
  <bookViews>
    <workbookView xWindow="0" yWindow="0" windowWidth="28800" windowHeight="11790"/>
  </bookViews>
  <sheets>
    <sheet name="Guide" sheetId="1" r:id="rId1"/>
    <sheet name="02_Raw_Sales" sheetId="2" state="hidden" r:id="rId2"/>
    <sheet name="02_Products" sheetId="4" state="hidden" r:id="rId3"/>
    <sheet name="02_Employees" sheetId="5" state="hidden" r:id="rId4"/>
    <sheet name="02_Raw_Performance" sheetId="6" state="hidden" r:id="rId5"/>
    <sheet name="02_Overhead_Costs" sheetId="7" state="hidden" r:id="rId6"/>
    <sheet name="Sales" sheetId="15" r:id="rId7"/>
    <sheet name="Employees" sheetId="17" r:id="rId8"/>
    <sheet name="Customers" sheetId="3" r:id="rId9"/>
    <sheet name="Products" sheetId="16" r:id="rId10"/>
    <sheet name="Overhead_Costs" sheetId="19" r:id="rId11"/>
    <sheet name="Performance_KPI" sheetId="18" r:id="rId12"/>
    <sheet name="Questions" sheetId="8" r:id="rId13"/>
    <sheet name="Worksheet" sheetId="14" r:id="rId14"/>
    <sheet name="Workspace" sheetId="20" r:id="rId15"/>
    <sheet name="04_Answer_Cleaned" sheetId="9" state="hidden" r:id="rId16"/>
    <sheet name="05_Answer_KPI" sheetId="10" state="hidden" r:id="rId17"/>
    <sheet name="06_Answer_Formulas" sheetId="11" state="hidden" r:id="rId18"/>
    <sheet name="07_Answer_Charts" sheetId="12" state="hidden" r:id="rId19"/>
  </sheets>
  <definedNames>
    <definedName name="_xlnm._FilterDatabase" localSheetId="3" hidden="1">'02_Employees'!$A$1:$F$96</definedName>
    <definedName name="_xlnm._FilterDatabase" localSheetId="5" hidden="1">'02_Overhead_Costs'!$A$1:$D$43</definedName>
    <definedName name="_xlnm._FilterDatabase" localSheetId="2" hidden="1">'02_Products'!$A$1:$E$21</definedName>
    <definedName name="_xlnm._FilterDatabase" localSheetId="4" hidden="1">'02_Raw_Performance'!$A$1:$K$96</definedName>
    <definedName name="_xlnm._FilterDatabase" localSheetId="1" hidden="1">'02_Raw_Sales'!$A$1:$L$181</definedName>
    <definedName name="_xlnm._FilterDatabase" localSheetId="15" hidden="1">'04_Answer_Cleaned'!$A$1:$X$181</definedName>
    <definedName name="_xlnm._FilterDatabase" localSheetId="8" hidden="1">Customers!$A$1:$E$51</definedName>
    <definedName name="_xlnm._FilterDatabase" localSheetId="7" hidden="1">Employees!$A$1:$F$96</definedName>
    <definedName name="_xlnm._FilterDatabase" localSheetId="10" hidden="1">Overhead_Costs!$A$1:$F$43</definedName>
    <definedName name="_xlnm._FilterDatabase" localSheetId="11" hidden="1">Performance_KPI!$A$1:$K$96</definedName>
    <definedName name="_xlnm._FilterDatabase" localSheetId="9" hidden="1">Products!$A$1:$F$21</definedName>
    <definedName name="_xlnm._FilterDatabase" localSheetId="6" hidden="1">Sales!$A$1:$N$181</definedName>
    <definedName name="_xlnm._FilterDatabase" localSheetId="14" hidden="1">Workspace!$A$1:$L$181</definedName>
  </definedNames>
  <calcPr calcId="152511"/>
  <pivotCaches>
    <pivotCache cacheId="0" r:id="rId20"/>
    <pivotCache cacheId="1" r:id="rId21"/>
  </pivotCaches>
</workbook>
</file>

<file path=xl/calcChain.xml><?xml version="1.0" encoding="utf-8"?>
<calcChain xmlns="http://schemas.openxmlformats.org/spreadsheetml/2006/main">
  <c r="N3" i="18" l="1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2" i="18"/>
  <c r="B2" i="19" l="1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2" i="15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C2" i="15" l="1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Y2" i="15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112" i="15"/>
  <c r="Y113" i="15"/>
  <c r="Y114" i="15"/>
  <c r="Y115" i="15"/>
  <c r="Y116" i="15"/>
  <c r="Y117" i="15"/>
  <c r="Y118" i="15"/>
  <c r="Y119" i="15"/>
  <c r="Y120" i="15"/>
  <c r="Y121" i="15"/>
  <c r="Y122" i="15"/>
  <c r="Y123" i="15"/>
  <c r="Y124" i="15"/>
  <c r="Y125" i="15"/>
  <c r="Y126" i="15"/>
  <c r="Y127" i="15"/>
  <c r="Y128" i="15"/>
  <c r="Y129" i="15"/>
  <c r="Y130" i="15"/>
  <c r="Y131" i="15"/>
  <c r="Y132" i="15"/>
  <c r="Y133" i="15"/>
  <c r="Y134" i="15"/>
  <c r="Y135" i="15"/>
  <c r="Y136" i="15"/>
  <c r="Y137" i="15"/>
  <c r="Y138" i="15"/>
  <c r="Y139" i="15"/>
  <c r="Y140" i="15"/>
  <c r="Y141" i="15"/>
  <c r="Y142" i="15"/>
  <c r="Y143" i="15"/>
  <c r="Y144" i="15"/>
  <c r="Y145" i="15"/>
  <c r="Y146" i="15"/>
  <c r="Y147" i="15"/>
  <c r="Y148" i="15"/>
  <c r="Y149" i="15"/>
  <c r="Y150" i="15"/>
  <c r="Y151" i="15"/>
  <c r="Y152" i="15"/>
  <c r="Y153" i="15"/>
  <c r="Y154" i="15"/>
  <c r="Y155" i="15"/>
  <c r="Y156" i="15"/>
  <c r="Y157" i="15"/>
  <c r="Y158" i="15"/>
  <c r="Y159" i="15"/>
  <c r="Y160" i="15"/>
  <c r="Y161" i="15"/>
  <c r="Y162" i="15"/>
  <c r="Y163" i="15"/>
  <c r="Y164" i="15"/>
  <c r="Y165" i="15"/>
  <c r="Y166" i="15"/>
  <c r="Y167" i="15"/>
  <c r="Y168" i="15"/>
  <c r="Y169" i="15"/>
  <c r="Y170" i="15"/>
  <c r="Y171" i="15"/>
  <c r="Y172" i="15"/>
  <c r="Y173" i="15"/>
  <c r="Y174" i="15"/>
  <c r="Y175" i="15"/>
  <c r="Y176" i="15"/>
  <c r="Y177" i="15"/>
  <c r="Y178" i="15"/>
  <c r="Y179" i="15"/>
  <c r="Y180" i="15"/>
  <c r="Y181" i="15"/>
  <c r="C15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B49" i="20" l="1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W3" i="15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2" i="15"/>
  <c r="J2" i="20" l="1"/>
  <c r="J3" i="20"/>
  <c r="J4" i="20"/>
  <c r="J5" i="20"/>
  <c r="J6" i="20"/>
  <c r="J7" i="20"/>
  <c r="J8" i="20"/>
  <c r="K8" i="20" l="1"/>
  <c r="K7" i="20"/>
  <c r="K5" i="20"/>
  <c r="K4" i="20"/>
  <c r="K3" i="20"/>
  <c r="K2" i="20"/>
  <c r="K6" i="20"/>
  <c r="L2" i="18"/>
  <c r="L3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I63" i="15"/>
  <c r="X3" i="15"/>
  <c r="X11" i="15"/>
  <c r="X23" i="15"/>
  <c r="X27" i="15"/>
  <c r="X35" i="15"/>
  <c r="X43" i="15"/>
  <c r="X48" i="15"/>
  <c r="X56" i="15"/>
  <c r="X2" i="15"/>
  <c r="X4" i="15"/>
  <c r="X5" i="15"/>
  <c r="X6" i="15"/>
  <c r="X7" i="15"/>
  <c r="X8" i="15"/>
  <c r="X9" i="15"/>
  <c r="X10" i="15"/>
  <c r="X12" i="15"/>
  <c r="X13" i="15"/>
  <c r="X14" i="15"/>
  <c r="X15" i="15"/>
  <c r="X16" i="15"/>
  <c r="X17" i="15"/>
  <c r="X18" i="15"/>
  <c r="X20" i="15"/>
  <c r="X21" i="15"/>
  <c r="X22" i="15"/>
  <c r="X24" i="15"/>
  <c r="X25" i="15"/>
  <c r="X26" i="15"/>
  <c r="X28" i="15"/>
  <c r="X29" i="15"/>
  <c r="X30" i="15"/>
  <c r="X31" i="15"/>
  <c r="X32" i="15"/>
  <c r="X33" i="15"/>
  <c r="X34" i="15"/>
  <c r="X36" i="15"/>
  <c r="X37" i="15"/>
  <c r="X38" i="15"/>
  <c r="X39" i="15"/>
  <c r="X40" i="15"/>
  <c r="X41" i="15"/>
  <c r="X42" i="15"/>
  <c r="X44" i="15"/>
  <c r="X45" i="15"/>
  <c r="X46" i="15"/>
  <c r="X47" i="15"/>
  <c r="X49" i="15"/>
  <c r="X50" i="15"/>
  <c r="X51" i="15"/>
  <c r="X52" i="15"/>
  <c r="X53" i="15"/>
  <c r="X54" i="15"/>
  <c r="X55" i="15"/>
  <c r="X57" i="15"/>
  <c r="X58" i="15"/>
  <c r="X59" i="15"/>
  <c r="X60" i="15"/>
  <c r="X61" i="15"/>
  <c r="X62" i="15"/>
  <c r="X64" i="15"/>
  <c r="X65" i="15"/>
  <c r="X66" i="15"/>
  <c r="X67" i="15"/>
  <c r="X68" i="15"/>
  <c r="X69" i="15"/>
  <c r="X70" i="15"/>
  <c r="X71" i="15"/>
  <c r="X72" i="15"/>
  <c r="X73" i="15"/>
  <c r="X74" i="15"/>
  <c r="X75" i="15"/>
  <c r="X76" i="15"/>
  <c r="X77" i="15"/>
  <c r="X78" i="15"/>
  <c r="X79" i="15"/>
  <c r="X80" i="15"/>
  <c r="X81" i="15"/>
  <c r="X82" i="15"/>
  <c r="X83" i="15"/>
  <c r="X84" i="15"/>
  <c r="X85" i="15"/>
  <c r="X86" i="15"/>
  <c r="X87" i="15"/>
  <c r="X88" i="15"/>
  <c r="X89" i="15"/>
  <c r="X90" i="15"/>
  <c r="X91" i="15"/>
  <c r="X92" i="15"/>
  <c r="X93" i="15"/>
  <c r="X94" i="15"/>
  <c r="X95" i="15"/>
  <c r="X96" i="15"/>
  <c r="X97" i="15"/>
  <c r="X98" i="15"/>
  <c r="X99" i="15"/>
  <c r="X100" i="15"/>
  <c r="X101" i="15"/>
  <c r="X102" i="15"/>
  <c r="X103" i="15"/>
  <c r="X104" i="15"/>
  <c r="X105" i="15"/>
  <c r="X106" i="15"/>
  <c r="X107" i="15"/>
  <c r="X108" i="15"/>
  <c r="X109" i="15"/>
  <c r="X110" i="15"/>
  <c r="X111" i="15"/>
  <c r="X112" i="15"/>
  <c r="X113" i="15"/>
  <c r="X114" i="15"/>
  <c r="X115" i="15"/>
  <c r="X116" i="15"/>
  <c r="X117" i="15"/>
  <c r="X118" i="15"/>
  <c r="X119" i="15"/>
  <c r="X120" i="15"/>
  <c r="X121" i="15"/>
  <c r="X122" i="15"/>
  <c r="X123" i="15"/>
  <c r="X124" i="15"/>
  <c r="X125" i="15"/>
  <c r="X126" i="15"/>
  <c r="X127" i="15"/>
  <c r="X128" i="15"/>
  <c r="X129" i="15"/>
  <c r="X130" i="15"/>
  <c r="X131" i="15"/>
  <c r="X132" i="15"/>
  <c r="X133" i="15"/>
  <c r="X134" i="15"/>
  <c r="X135" i="15"/>
  <c r="X136" i="15"/>
  <c r="X137" i="15"/>
  <c r="X138" i="15"/>
  <c r="X139" i="15"/>
  <c r="X140" i="15"/>
  <c r="X141" i="15"/>
  <c r="X142" i="15"/>
  <c r="X143" i="15"/>
  <c r="X144" i="15"/>
  <c r="X145" i="15"/>
  <c r="X146" i="15"/>
  <c r="X147" i="15"/>
  <c r="X148" i="15"/>
  <c r="X149" i="15"/>
  <c r="X150" i="15"/>
  <c r="X151" i="15"/>
  <c r="X152" i="15"/>
  <c r="X153" i="15"/>
  <c r="X154" i="15"/>
  <c r="X155" i="15"/>
  <c r="X156" i="15"/>
  <c r="X157" i="15"/>
  <c r="X158" i="15"/>
  <c r="X159" i="15"/>
  <c r="X160" i="15"/>
  <c r="X161" i="15"/>
  <c r="X162" i="15"/>
  <c r="X163" i="15"/>
  <c r="X164" i="15"/>
  <c r="X165" i="15"/>
  <c r="X166" i="15"/>
  <c r="X167" i="15"/>
  <c r="X168" i="15"/>
  <c r="X169" i="15"/>
  <c r="X170" i="15"/>
  <c r="X171" i="15"/>
  <c r="X172" i="15"/>
  <c r="X173" i="15"/>
  <c r="X174" i="15"/>
  <c r="X175" i="15"/>
  <c r="X176" i="15"/>
  <c r="X177" i="15"/>
  <c r="X178" i="15"/>
  <c r="X179" i="15"/>
  <c r="X180" i="15"/>
  <c r="X181" i="15"/>
  <c r="V2" i="15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U2" i="15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48" i="15"/>
  <c r="U149" i="15"/>
  <c r="U150" i="15"/>
  <c r="U151" i="15"/>
  <c r="U152" i="15"/>
  <c r="U153" i="15"/>
  <c r="U154" i="15"/>
  <c r="U155" i="15"/>
  <c r="U156" i="15"/>
  <c r="U157" i="15"/>
  <c r="U158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2" i="15"/>
  <c r="U173" i="15"/>
  <c r="U174" i="15"/>
  <c r="U175" i="15"/>
  <c r="U176" i="15"/>
  <c r="U177" i="15"/>
  <c r="U178" i="15"/>
  <c r="U179" i="15"/>
  <c r="U180" i="15"/>
  <c r="U181" i="15"/>
  <c r="T2" i="15"/>
  <c r="S2" i="15"/>
  <c r="R2" i="15"/>
  <c r="Q2" i="15"/>
  <c r="P2" i="15"/>
  <c r="D2" i="20" s="1"/>
  <c r="O2" i="15"/>
  <c r="G2" i="17" s="1"/>
  <c r="B6" i="11"/>
  <c r="H19" i="15"/>
  <c r="L184" i="9"/>
  <c r="B15" i="11"/>
  <c r="B14" i="11"/>
  <c r="B13" i="11"/>
  <c r="B12" i="11"/>
  <c r="B9" i="11"/>
  <c r="B7" i="11"/>
  <c r="B5" i="11"/>
  <c r="B4" i="11"/>
  <c r="B3" i="11"/>
  <c r="B2" i="11"/>
  <c r="G250" i="14" l="1"/>
  <c r="G249" i="14"/>
  <c r="G246" i="14"/>
  <c r="G251" i="14"/>
  <c r="H215" i="14"/>
  <c r="H213" i="14"/>
  <c r="H214" i="14"/>
  <c r="D2" i="16"/>
  <c r="G2" i="16" s="1"/>
  <c r="D10" i="16"/>
  <c r="G10" i="16" s="1"/>
  <c r="D18" i="16"/>
  <c r="D3" i="16"/>
  <c r="D11" i="16"/>
  <c r="G11" i="16" s="1"/>
  <c r="D19" i="16"/>
  <c r="D17" i="16"/>
  <c r="G17" i="16" s="1"/>
  <c r="D4" i="16"/>
  <c r="G4" i="16" s="1"/>
  <c r="D12" i="16"/>
  <c r="G12" i="16" s="1"/>
  <c r="D20" i="16"/>
  <c r="G20" i="16" s="1"/>
  <c r="D14" i="16"/>
  <c r="G14" i="16" s="1"/>
  <c r="D5" i="16"/>
  <c r="D13" i="16"/>
  <c r="G13" i="16" s="1"/>
  <c r="D21" i="16"/>
  <c r="D6" i="16"/>
  <c r="G6" i="16" s="1"/>
  <c r="D9" i="16"/>
  <c r="G9" i="16" s="1"/>
  <c r="D7" i="16"/>
  <c r="G7" i="16" s="1"/>
  <c r="D15" i="16"/>
  <c r="G15" i="16" s="1"/>
  <c r="D8" i="16"/>
  <c r="D16" i="16"/>
  <c r="G16" i="16" s="1"/>
  <c r="G18" i="16"/>
  <c r="G3" i="16"/>
  <c r="G19" i="16"/>
  <c r="G5" i="16"/>
  <c r="G21" i="16"/>
  <c r="G8" i="16"/>
  <c r="I2" i="16"/>
  <c r="I10" i="16"/>
  <c r="I18" i="16"/>
  <c r="I16" i="16"/>
  <c r="I3" i="16"/>
  <c r="I11" i="16"/>
  <c r="J11" i="16" s="1"/>
  <c r="H230" i="14" s="1"/>
  <c r="I19" i="16"/>
  <c r="I9" i="16"/>
  <c r="I4" i="16"/>
  <c r="I12" i="16"/>
  <c r="I20" i="16"/>
  <c r="I14" i="16"/>
  <c r="I5" i="16"/>
  <c r="I13" i="16"/>
  <c r="I21" i="16"/>
  <c r="I6" i="16"/>
  <c r="I7" i="16"/>
  <c r="I15" i="16"/>
  <c r="I8" i="16"/>
  <c r="I17" i="16"/>
  <c r="J17" i="16" s="1"/>
  <c r="H236" i="14" s="1"/>
  <c r="H2" i="16"/>
  <c r="H10" i="16"/>
  <c r="H18" i="16"/>
  <c r="H13" i="16"/>
  <c r="H6" i="16"/>
  <c r="H3" i="16"/>
  <c r="H11" i="16"/>
  <c r="H19" i="16"/>
  <c r="H21" i="16"/>
  <c r="H14" i="16"/>
  <c r="H4" i="16"/>
  <c r="H12" i="16"/>
  <c r="H20" i="16"/>
  <c r="H5" i="16"/>
  <c r="H7" i="16"/>
  <c r="H8" i="16"/>
  <c r="H16" i="16"/>
  <c r="H17" i="16"/>
  <c r="G214" i="14"/>
  <c r="H189" i="14"/>
  <c r="I189" i="14" s="1"/>
  <c r="C84" i="20"/>
  <c r="H179" i="14"/>
  <c r="I179" i="14" s="1"/>
  <c r="C74" i="20"/>
  <c r="H199" i="14"/>
  <c r="I199" i="14" s="1"/>
  <c r="C94" i="20"/>
  <c r="H195" i="14"/>
  <c r="I195" i="14" s="1"/>
  <c r="C90" i="20"/>
  <c r="H185" i="14"/>
  <c r="I185" i="14" s="1"/>
  <c r="C80" i="20"/>
  <c r="H178" i="14"/>
  <c r="I178" i="14" s="1"/>
  <c r="C73" i="20"/>
  <c r="H173" i="14"/>
  <c r="I173" i="14" s="1"/>
  <c r="C68" i="20"/>
  <c r="H158" i="14"/>
  <c r="I158" i="14" s="1"/>
  <c r="C53" i="20"/>
  <c r="H154" i="14"/>
  <c r="I154" i="14" s="1"/>
  <c r="C49" i="20"/>
  <c r="H203" i="14"/>
  <c r="I203" i="14" s="1"/>
  <c r="C98" i="20"/>
  <c r="H198" i="14"/>
  <c r="I198" i="14" s="1"/>
  <c r="C93" i="20"/>
  <c r="H194" i="14"/>
  <c r="I194" i="14" s="1"/>
  <c r="C89" i="20"/>
  <c r="H188" i="14"/>
  <c r="I188" i="14" s="1"/>
  <c r="C83" i="20"/>
  <c r="H177" i="14"/>
  <c r="I177" i="14" s="1"/>
  <c r="C72" i="20"/>
  <c r="H170" i="14"/>
  <c r="I170" i="14" s="1"/>
  <c r="C65" i="20"/>
  <c r="H162" i="14"/>
  <c r="I162" i="14" s="1"/>
  <c r="C57" i="20"/>
  <c r="H197" i="14"/>
  <c r="I197" i="14" s="1"/>
  <c r="C92" i="20"/>
  <c r="H193" i="14"/>
  <c r="I193" i="14" s="1"/>
  <c r="C88" i="20"/>
  <c r="H184" i="14"/>
  <c r="I184" i="14" s="1"/>
  <c r="C79" i="20"/>
  <c r="H176" i="14"/>
  <c r="I176" i="14" s="1"/>
  <c r="C71" i="20"/>
  <c r="H172" i="14"/>
  <c r="I172" i="14" s="1"/>
  <c r="C67" i="20"/>
  <c r="H169" i="14"/>
  <c r="I169" i="14" s="1"/>
  <c r="C64" i="20"/>
  <c r="H161" i="14"/>
  <c r="I161" i="14" s="1"/>
  <c r="C56" i="20"/>
  <c r="H157" i="14"/>
  <c r="I157" i="14" s="1"/>
  <c r="C52" i="20"/>
  <c r="H202" i="14"/>
  <c r="I202" i="14" s="1"/>
  <c r="C97" i="20"/>
  <c r="H196" i="14"/>
  <c r="I196" i="14" s="1"/>
  <c r="C91" i="20"/>
  <c r="H192" i="14"/>
  <c r="I192" i="14" s="1"/>
  <c r="C87" i="20"/>
  <c r="H187" i="14"/>
  <c r="I187" i="14" s="1"/>
  <c r="C82" i="20"/>
  <c r="H168" i="14"/>
  <c r="I168" i="14" s="1"/>
  <c r="C63" i="20"/>
  <c r="H165" i="14"/>
  <c r="I165" i="14" s="1"/>
  <c r="C60" i="20"/>
  <c r="H201" i="14"/>
  <c r="I201" i="14" s="1"/>
  <c r="C96" i="20"/>
  <c r="H191" i="14"/>
  <c r="I191" i="14" s="1"/>
  <c r="C86" i="20"/>
  <c r="H181" i="14"/>
  <c r="I181" i="14" s="1"/>
  <c r="C76" i="20"/>
  <c r="H175" i="14"/>
  <c r="I175" i="14" s="1"/>
  <c r="C70" i="20"/>
  <c r="H171" i="14"/>
  <c r="I171" i="14" s="1"/>
  <c r="C66" i="20"/>
  <c r="H167" i="14"/>
  <c r="I167" i="14" s="1"/>
  <c r="C62" i="20"/>
  <c r="H164" i="14"/>
  <c r="I164" i="14" s="1"/>
  <c r="C59" i="20"/>
  <c r="H160" i="14"/>
  <c r="I160" i="14" s="1"/>
  <c r="C55" i="20"/>
  <c r="H156" i="14"/>
  <c r="I156" i="14" s="1"/>
  <c r="C51" i="20"/>
  <c r="H190" i="14"/>
  <c r="I190" i="14" s="1"/>
  <c r="C85" i="20"/>
  <c r="H183" i="14"/>
  <c r="I183" i="14" s="1"/>
  <c r="C78" i="20"/>
  <c r="H166" i="14"/>
  <c r="I166" i="14" s="1"/>
  <c r="C61" i="20"/>
  <c r="H159" i="14"/>
  <c r="I159" i="14" s="1"/>
  <c r="C54" i="20"/>
  <c r="H155" i="14"/>
  <c r="I155" i="14" s="1"/>
  <c r="C50" i="20"/>
  <c r="H200" i="14"/>
  <c r="I200" i="14" s="1"/>
  <c r="C95" i="20"/>
  <c r="H186" i="14"/>
  <c r="I186" i="14" s="1"/>
  <c r="C81" i="20"/>
  <c r="H182" i="14"/>
  <c r="I182" i="14" s="1"/>
  <c r="C77" i="20"/>
  <c r="H180" i="14"/>
  <c r="I180" i="14" s="1"/>
  <c r="C75" i="20"/>
  <c r="H174" i="14"/>
  <c r="I174" i="14" s="1"/>
  <c r="C69" i="20"/>
  <c r="H163" i="14"/>
  <c r="I163" i="14" s="1"/>
  <c r="C58" i="20"/>
  <c r="O90" i="18"/>
  <c r="P90" i="18" s="1"/>
  <c r="M90" i="18"/>
  <c r="M82" i="18"/>
  <c r="O82" i="18"/>
  <c r="P82" i="18" s="1"/>
  <c r="O74" i="18"/>
  <c r="P74" i="18" s="1"/>
  <c r="M74" i="18"/>
  <c r="M66" i="18"/>
  <c r="O66" i="18"/>
  <c r="P66" i="18" s="1"/>
  <c r="O58" i="18"/>
  <c r="P58" i="18" s="1"/>
  <c r="M58" i="18"/>
  <c r="M50" i="18"/>
  <c r="O50" i="18"/>
  <c r="P50" i="18" s="1"/>
  <c r="O42" i="18"/>
  <c r="P42" i="18" s="1"/>
  <c r="M42" i="18"/>
  <c r="O34" i="18"/>
  <c r="P34" i="18" s="1"/>
  <c r="M34" i="18"/>
  <c r="M26" i="18"/>
  <c r="O26" i="18"/>
  <c r="P26" i="18" s="1"/>
  <c r="M18" i="18"/>
  <c r="O18" i="18"/>
  <c r="P18" i="18" s="1"/>
  <c r="M10" i="18"/>
  <c r="O10" i="18"/>
  <c r="P10" i="18" s="1"/>
  <c r="O2" i="18"/>
  <c r="P2" i="18" s="1"/>
  <c r="M2" i="18"/>
  <c r="O65" i="18"/>
  <c r="P65" i="18" s="1"/>
  <c r="M65" i="18"/>
  <c r="O17" i="18"/>
  <c r="P17" i="18" s="1"/>
  <c r="M17" i="18"/>
  <c r="M96" i="18"/>
  <c r="O96" i="18"/>
  <c r="P96" i="18" s="1"/>
  <c r="M64" i="18"/>
  <c r="O64" i="18"/>
  <c r="P64" i="18" s="1"/>
  <c r="M56" i="18"/>
  <c r="O56" i="18"/>
  <c r="P56" i="18" s="1"/>
  <c r="M40" i="18"/>
  <c r="O40" i="18"/>
  <c r="P40" i="18" s="1"/>
  <c r="M8" i="18"/>
  <c r="O8" i="18"/>
  <c r="P8" i="18" s="1"/>
  <c r="M95" i="18"/>
  <c r="O95" i="18"/>
  <c r="P95" i="18" s="1"/>
  <c r="M87" i="18"/>
  <c r="O87" i="18"/>
  <c r="P87" i="18" s="1"/>
  <c r="M79" i="18"/>
  <c r="O79" i="18"/>
  <c r="P79" i="18" s="1"/>
  <c r="M71" i="18"/>
  <c r="O71" i="18"/>
  <c r="P71" i="18" s="1"/>
  <c r="M63" i="18"/>
  <c r="O63" i="18"/>
  <c r="P63" i="18" s="1"/>
  <c r="M55" i="18"/>
  <c r="O55" i="18"/>
  <c r="P55" i="18" s="1"/>
  <c r="M47" i="18"/>
  <c r="O47" i="18"/>
  <c r="P47" i="18" s="1"/>
  <c r="M39" i="18"/>
  <c r="O39" i="18"/>
  <c r="P39" i="18" s="1"/>
  <c r="M31" i="18"/>
  <c r="O31" i="18"/>
  <c r="P31" i="18" s="1"/>
  <c r="M23" i="18"/>
  <c r="O23" i="18"/>
  <c r="P23" i="18" s="1"/>
  <c r="M15" i="18"/>
  <c r="O15" i="18"/>
  <c r="P15" i="18" s="1"/>
  <c r="M7" i="18"/>
  <c r="O7" i="18"/>
  <c r="P7" i="18" s="1"/>
  <c r="M89" i="18"/>
  <c r="O89" i="18"/>
  <c r="P89" i="18" s="1"/>
  <c r="M57" i="18"/>
  <c r="O57" i="18"/>
  <c r="P57" i="18" s="1"/>
  <c r="O33" i="18"/>
  <c r="P33" i="18" s="1"/>
  <c r="M33" i="18"/>
  <c r="M88" i="18"/>
  <c r="O88" i="18"/>
  <c r="P88" i="18" s="1"/>
  <c r="M48" i="18"/>
  <c r="O48" i="18"/>
  <c r="P48" i="18" s="1"/>
  <c r="M94" i="18"/>
  <c r="O94" i="18"/>
  <c r="P94" i="18" s="1"/>
  <c r="M86" i="18"/>
  <c r="O86" i="18"/>
  <c r="P86" i="18" s="1"/>
  <c r="M78" i="18"/>
  <c r="O78" i="18"/>
  <c r="P78" i="18" s="1"/>
  <c r="M70" i="18"/>
  <c r="O70" i="18"/>
  <c r="P70" i="18" s="1"/>
  <c r="M62" i="18"/>
  <c r="O62" i="18"/>
  <c r="P62" i="18" s="1"/>
  <c r="M54" i="18"/>
  <c r="O54" i="18"/>
  <c r="P54" i="18" s="1"/>
  <c r="M46" i="18"/>
  <c r="O46" i="18"/>
  <c r="P46" i="18" s="1"/>
  <c r="M38" i="18"/>
  <c r="O38" i="18"/>
  <c r="P38" i="18" s="1"/>
  <c r="M30" i="18"/>
  <c r="O30" i="18"/>
  <c r="P30" i="18" s="1"/>
  <c r="M22" i="18"/>
  <c r="O22" i="18"/>
  <c r="P22" i="18" s="1"/>
  <c r="M14" i="18"/>
  <c r="O14" i="18"/>
  <c r="P14" i="18" s="1"/>
  <c r="M6" i="18"/>
  <c r="O6" i="18"/>
  <c r="P6" i="18" s="1"/>
  <c r="O49" i="18"/>
  <c r="P49" i="18" s="1"/>
  <c r="M49" i="18"/>
  <c r="O41" i="18"/>
  <c r="P41" i="18" s="1"/>
  <c r="M41" i="18"/>
  <c r="O9" i="18"/>
  <c r="P9" i="18" s="1"/>
  <c r="M9" i="18"/>
  <c r="M80" i="18"/>
  <c r="O80" i="18"/>
  <c r="P80" i="18" s="1"/>
  <c r="M16" i="18"/>
  <c r="O16" i="18"/>
  <c r="P16" i="18" s="1"/>
  <c r="M93" i="18"/>
  <c r="O93" i="18"/>
  <c r="P93" i="18" s="1"/>
  <c r="M85" i="18"/>
  <c r="O85" i="18"/>
  <c r="P85" i="18" s="1"/>
  <c r="M77" i="18"/>
  <c r="O77" i="18"/>
  <c r="P77" i="18" s="1"/>
  <c r="M69" i="18"/>
  <c r="O69" i="18"/>
  <c r="P69" i="18" s="1"/>
  <c r="M61" i="18"/>
  <c r="O61" i="18"/>
  <c r="P61" i="18" s="1"/>
  <c r="M53" i="18"/>
  <c r="O53" i="18"/>
  <c r="P53" i="18" s="1"/>
  <c r="M45" i="18"/>
  <c r="O45" i="18"/>
  <c r="P45" i="18" s="1"/>
  <c r="M37" i="18"/>
  <c r="O37" i="18"/>
  <c r="P37" i="18" s="1"/>
  <c r="M29" i="18"/>
  <c r="O29" i="18"/>
  <c r="P29" i="18" s="1"/>
  <c r="M21" i="18"/>
  <c r="O21" i="18"/>
  <c r="P21" i="18" s="1"/>
  <c r="M13" i="18"/>
  <c r="O13" i="18"/>
  <c r="P13" i="18" s="1"/>
  <c r="M5" i="18"/>
  <c r="O5" i="18"/>
  <c r="P5" i="18" s="1"/>
  <c r="O73" i="18"/>
  <c r="P73" i="18" s="1"/>
  <c r="M73" i="18"/>
  <c r="M25" i="18"/>
  <c r="O25" i="18"/>
  <c r="P25" i="18" s="1"/>
  <c r="M32" i="18"/>
  <c r="O32" i="18"/>
  <c r="P32" i="18" s="1"/>
  <c r="O92" i="18"/>
  <c r="P92" i="18" s="1"/>
  <c r="M92" i="18"/>
  <c r="O84" i="18"/>
  <c r="P84" i="18" s="1"/>
  <c r="M84" i="18"/>
  <c r="O76" i="18"/>
  <c r="P76" i="18" s="1"/>
  <c r="M76" i="18"/>
  <c r="O68" i="18"/>
  <c r="P68" i="18" s="1"/>
  <c r="M68" i="18"/>
  <c r="O60" i="18"/>
  <c r="P60" i="18" s="1"/>
  <c r="M60" i="18"/>
  <c r="O52" i="18"/>
  <c r="P52" i="18" s="1"/>
  <c r="M52" i="18"/>
  <c r="O44" i="18"/>
  <c r="P44" i="18" s="1"/>
  <c r="M44" i="18"/>
  <c r="O36" i="18"/>
  <c r="P36" i="18" s="1"/>
  <c r="M36" i="18"/>
  <c r="O28" i="18"/>
  <c r="P28" i="18" s="1"/>
  <c r="M28" i="18"/>
  <c r="O20" i="18"/>
  <c r="P20" i="18" s="1"/>
  <c r="M20" i="18"/>
  <c r="O12" i="18"/>
  <c r="P12" i="18" s="1"/>
  <c r="M12" i="18"/>
  <c r="O4" i="18"/>
  <c r="P4" i="18" s="1"/>
  <c r="M4" i="18"/>
  <c r="O81" i="18"/>
  <c r="P81" i="18" s="1"/>
  <c r="M81" i="18"/>
  <c r="M72" i="18"/>
  <c r="O72" i="18"/>
  <c r="P72" i="18" s="1"/>
  <c r="M24" i="18"/>
  <c r="O24" i="18"/>
  <c r="P24" i="18" s="1"/>
  <c r="M91" i="18"/>
  <c r="O91" i="18"/>
  <c r="P91" i="18" s="1"/>
  <c r="M83" i="18"/>
  <c r="O83" i="18"/>
  <c r="P83" i="18" s="1"/>
  <c r="O75" i="18"/>
  <c r="P75" i="18" s="1"/>
  <c r="M75" i="18"/>
  <c r="M67" i="18"/>
  <c r="O67" i="18"/>
  <c r="P67" i="18" s="1"/>
  <c r="M59" i="18"/>
  <c r="O59" i="18"/>
  <c r="P59" i="18" s="1"/>
  <c r="M51" i="18"/>
  <c r="O51" i="18"/>
  <c r="P51" i="18" s="1"/>
  <c r="M43" i="18"/>
  <c r="O43" i="18"/>
  <c r="P43" i="18" s="1"/>
  <c r="O35" i="18"/>
  <c r="P35" i="18" s="1"/>
  <c r="M35" i="18"/>
  <c r="M27" i="18"/>
  <c r="O27" i="18"/>
  <c r="P27" i="18" s="1"/>
  <c r="M19" i="18"/>
  <c r="O19" i="18"/>
  <c r="P19" i="18" s="1"/>
  <c r="O11" i="18"/>
  <c r="P11" i="18" s="1"/>
  <c r="M11" i="18"/>
  <c r="M3" i="18"/>
  <c r="O3" i="18"/>
  <c r="P3" i="18" s="1"/>
  <c r="H81" i="17"/>
  <c r="H57" i="17"/>
  <c r="H33" i="17"/>
  <c r="H96" i="17"/>
  <c r="H88" i="17"/>
  <c r="H80" i="17"/>
  <c r="H72" i="17"/>
  <c r="H64" i="17"/>
  <c r="H56" i="17"/>
  <c r="H48" i="17"/>
  <c r="H40" i="17"/>
  <c r="H32" i="17"/>
  <c r="H24" i="17"/>
  <c r="H16" i="17"/>
  <c r="H8" i="17"/>
  <c r="H95" i="17"/>
  <c r="H87" i="17"/>
  <c r="H79" i="17"/>
  <c r="H71" i="17"/>
  <c r="H63" i="17"/>
  <c r="H55" i="17"/>
  <c r="H47" i="17"/>
  <c r="H39" i="17"/>
  <c r="H31" i="17"/>
  <c r="H23" i="17"/>
  <c r="H15" i="17"/>
  <c r="H7" i="17"/>
  <c r="H89" i="17"/>
  <c r="H78" i="17"/>
  <c r="H62" i="17"/>
  <c r="H38" i="17"/>
  <c r="H22" i="17"/>
  <c r="H14" i="17"/>
  <c r="H93" i="17"/>
  <c r="H85" i="17"/>
  <c r="H77" i="17"/>
  <c r="H69" i="17"/>
  <c r="H61" i="17"/>
  <c r="H53" i="17"/>
  <c r="H45" i="17"/>
  <c r="H37" i="17"/>
  <c r="H29" i="17"/>
  <c r="H21" i="17"/>
  <c r="H13" i="17"/>
  <c r="H5" i="17"/>
  <c r="H65" i="17"/>
  <c r="H92" i="17"/>
  <c r="H84" i="17"/>
  <c r="H76" i="17"/>
  <c r="H68" i="17"/>
  <c r="H60" i="17"/>
  <c r="H52" i="17"/>
  <c r="H44" i="17"/>
  <c r="H36" i="17"/>
  <c r="H28" i="17"/>
  <c r="H20" i="17"/>
  <c r="H12" i="17"/>
  <c r="H4" i="17"/>
  <c r="H94" i="17"/>
  <c r="H46" i="17"/>
  <c r="H91" i="17"/>
  <c r="H83" i="17"/>
  <c r="H75" i="17"/>
  <c r="H67" i="17"/>
  <c r="H59" i="17"/>
  <c r="H51" i="17"/>
  <c r="H43" i="17"/>
  <c r="H35" i="17"/>
  <c r="H27" i="17"/>
  <c r="H19" i="17"/>
  <c r="H11" i="17"/>
  <c r="H3" i="17"/>
  <c r="H73" i="17"/>
  <c r="H49" i="17"/>
  <c r="H41" i="17"/>
  <c r="H25" i="17"/>
  <c r="H17" i="17"/>
  <c r="H9" i="17"/>
  <c r="H86" i="17"/>
  <c r="H70" i="17"/>
  <c r="H54" i="17"/>
  <c r="H30" i="17"/>
  <c r="H6" i="17"/>
  <c r="H90" i="17"/>
  <c r="H82" i="17"/>
  <c r="H74" i="17"/>
  <c r="H66" i="17"/>
  <c r="H58" i="17"/>
  <c r="H50" i="17"/>
  <c r="H42" i="17"/>
  <c r="H34" i="17"/>
  <c r="H26" i="17"/>
  <c r="H18" i="17"/>
  <c r="H10" i="17"/>
  <c r="H2" i="17"/>
  <c r="G89" i="17"/>
  <c r="G81" i="17"/>
  <c r="G73" i="17"/>
  <c r="G65" i="17"/>
  <c r="G57" i="17"/>
  <c r="G49" i="17"/>
  <c r="G41" i="17"/>
  <c r="G33" i="17"/>
  <c r="G25" i="17"/>
  <c r="G17" i="17"/>
  <c r="G9" i="17"/>
  <c r="G88" i="17"/>
  <c r="G72" i="17"/>
  <c r="G64" i="17"/>
  <c r="G48" i="17"/>
  <c r="G32" i="17"/>
  <c r="G24" i="17"/>
  <c r="G16" i="17"/>
  <c r="G8" i="17"/>
  <c r="G95" i="17"/>
  <c r="G87" i="17"/>
  <c r="G79" i="17"/>
  <c r="G71" i="17"/>
  <c r="G63" i="17"/>
  <c r="G55" i="17"/>
  <c r="G47" i="17"/>
  <c r="G39" i="17"/>
  <c r="G31" i="17"/>
  <c r="G23" i="17"/>
  <c r="G15" i="17"/>
  <c r="G7" i="17"/>
  <c r="G96" i="17"/>
  <c r="G56" i="17"/>
  <c r="G94" i="17"/>
  <c r="G86" i="17"/>
  <c r="G78" i="17"/>
  <c r="G70" i="17"/>
  <c r="G62" i="17"/>
  <c r="G54" i="17"/>
  <c r="G38" i="17"/>
  <c r="G30" i="17"/>
  <c r="G22" i="17"/>
  <c r="G14" i="17"/>
  <c r="G6" i="17"/>
  <c r="G80" i="17"/>
  <c r="G40" i="17"/>
  <c r="G93" i="17"/>
  <c r="G85" i="17"/>
  <c r="G77" i="17"/>
  <c r="G69" i="17"/>
  <c r="G61" i="17"/>
  <c r="G53" i="17"/>
  <c r="G45" i="17"/>
  <c r="G37" i="17"/>
  <c r="G29" i="17"/>
  <c r="G21" i="17"/>
  <c r="G5" i="17"/>
  <c r="G92" i="17"/>
  <c r="G84" i="17"/>
  <c r="G76" i="17"/>
  <c r="G68" i="17"/>
  <c r="G60" i="17"/>
  <c r="G52" i="17"/>
  <c r="G44" i="17"/>
  <c r="G36" i="17"/>
  <c r="G28" i="17"/>
  <c r="G20" i="17"/>
  <c r="G12" i="17"/>
  <c r="G4" i="17"/>
  <c r="G91" i="17"/>
  <c r="G83" i="17"/>
  <c r="G75" i="17"/>
  <c r="G67" i="17"/>
  <c r="G59" i="17"/>
  <c r="G51" i="17"/>
  <c r="G43" i="17"/>
  <c r="G35" i="17"/>
  <c r="G27" i="17"/>
  <c r="G19" i="17"/>
  <c r="G11" i="17"/>
  <c r="G3" i="17"/>
  <c r="G90" i="17"/>
  <c r="G82" i="17"/>
  <c r="G74" i="17"/>
  <c r="G66" i="17"/>
  <c r="G58" i="17"/>
  <c r="G50" i="17"/>
  <c r="G42" i="17"/>
  <c r="G34" i="17"/>
  <c r="G26" i="17"/>
  <c r="G18" i="17"/>
  <c r="G10" i="17"/>
  <c r="C7" i="20"/>
  <c r="B8" i="20"/>
  <c r="D6" i="20"/>
  <c r="X19" i="15"/>
  <c r="G13" i="17" s="1"/>
  <c r="B3" i="20"/>
  <c r="C2" i="20"/>
  <c r="E2" i="20" s="1"/>
  <c r="B2" i="20"/>
  <c r="D8" i="20"/>
  <c r="X63" i="15"/>
  <c r="C5" i="20" s="1"/>
  <c r="D7" i="20"/>
  <c r="B7" i="20"/>
  <c r="C6" i="20"/>
  <c r="D5" i="20"/>
  <c r="B6" i="20"/>
  <c r="D4" i="20"/>
  <c r="B5" i="20"/>
  <c r="C4" i="20"/>
  <c r="D3" i="20"/>
  <c r="B4" i="20"/>
  <c r="C3" i="20"/>
  <c r="J14" i="16" l="1"/>
  <c r="H233" i="14" s="1"/>
  <c r="J20" i="16"/>
  <c r="H239" i="14" s="1"/>
  <c r="J21" i="16"/>
  <c r="H240" i="14" s="1"/>
  <c r="J19" i="16"/>
  <c r="H238" i="14" s="1"/>
  <c r="G248" i="14"/>
  <c r="G247" i="14"/>
  <c r="J5" i="16"/>
  <c r="H224" i="14" s="1"/>
  <c r="J16" i="16"/>
  <c r="H235" i="14" s="1"/>
  <c r="J13" i="16"/>
  <c r="H232" i="14" s="1"/>
  <c r="J3" i="16"/>
  <c r="H222" i="14" s="1"/>
  <c r="J8" i="16"/>
  <c r="H227" i="14" s="1"/>
  <c r="J18" i="16"/>
  <c r="H237" i="14" s="1"/>
  <c r="J15" i="16"/>
  <c r="H234" i="14" s="1"/>
  <c r="J12" i="16"/>
  <c r="H231" i="14" s="1"/>
  <c r="J10" i="16"/>
  <c r="H229" i="14" s="1"/>
  <c r="J7" i="16"/>
  <c r="H226" i="14" s="1"/>
  <c r="J4" i="16"/>
  <c r="H223" i="14" s="1"/>
  <c r="J2" i="16"/>
  <c r="H221" i="14" s="1"/>
  <c r="J6" i="16"/>
  <c r="H225" i="14" s="1"/>
  <c r="J9" i="16"/>
  <c r="H228" i="14" s="1"/>
  <c r="H9" i="16"/>
  <c r="H15" i="16"/>
  <c r="G46" i="17"/>
  <c r="B36" i="20" s="1"/>
  <c r="G215" i="14"/>
  <c r="G213" i="14"/>
  <c r="C8" i="20"/>
  <c r="E8" i="20" s="1"/>
  <c r="E6" i="20"/>
  <c r="K113" i="14"/>
  <c r="G33" i="20"/>
  <c r="G37" i="20"/>
  <c r="K116" i="14"/>
  <c r="K110" i="14"/>
  <c r="G34" i="20"/>
  <c r="G35" i="20"/>
  <c r="K115" i="14"/>
  <c r="K112" i="14"/>
  <c r="K109" i="14"/>
  <c r="G36" i="20"/>
  <c r="G29" i="20"/>
  <c r="K117" i="14"/>
  <c r="K111" i="14"/>
  <c r="G30" i="20"/>
  <c r="G38" i="20"/>
  <c r="K114" i="14"/>
  <c r="K108" i="14"/>
  <c r="G31" i="20"/>
  <c r="G32" i="20"/>
  <c r="E4" i="20"/>
  <c r="E7" i="20"/>
  <c r="E5" i="20"/>
  <c r="B9" i="20"/>
  <c r="D9" i="20"/>
  <c r="E3" i="20"/>
  <c r="F113" i="14" l="1"/>
  <c r="G113" i="14" s="1"/>
  <c r="F115" i="14"/>
  <c r="F114" i="14"/>
  <c r="B32" i="20"/>
  <c r="D32" i="20" s="1"/>
  <c r="B38" i="20"/>
  <c r="D38" i="20" s="1"/>
  <c r="B31" i="20"/>
  <c r="D31" i="20" s="1"/>
  <c r="B30" i="20"/>
  <c r="C30" i="20" s="1"/>
  <c r="B35" i="20"/>
  <c r="D35" i="20" s="1"/>
  <c r="B29" i="20"/>
  <c r="D29" i="20" s="1"/>
  <c r="F117" i="14"/>
  <c r="H117" i="14" s="1"/>
  <c r="B37" i="20"/>
  <c r="F110" i="14"/>
  <c r="H110" i="14" s="1"/>
  <c r="F109" i="14"/>
  <c r="G109" i="14" s="1"/>
  <c r="F108" i="14"/>
  <c r="H108" i="14" s="1"/>
  <c r="F111" i="14"/>
  <c r="H111" i="14" s="1"/>
  <c r="F116" i="14"/>
  <c r="H116" i="14" s="1"/>
  <c r="F112" i="14"/>
  <c r="H112" i="14" s="1"/>
  <c r="B33" i="20"/>
  <c r="B34" i="20"/>
  <c r="D34" i="20" s="1"/>
  <c r="C9" i="20"/>
  <c r="M114" i="14"/>
  <c r="L114" i="14"/>
  <c r="H35" i="20"/>
  <c r="I35" i="20"/>
  <c r="D36" i="20"/>
  <c r="C36" i="20"/>
  <c r="M111" i="14"/>
  <c r="L111" i="14"/>
  <c r="H34" i="20"/>
  <c r="I34" i="20"/>
  <c r="M112" i="14"/>
  <c r="L112" i="14"/>
  <c r="G112" i="14"/>
  <c r="M117" i="14"/>
  <c r="L117" i="14"/>
  <c r="M110" i="14"/>
  <c r="L110" i="14"/>
  <c r="H115" i="14"/>
  <c r="G115" i="14"/>
  <c r="L113" i="14"/>
  <c r="M113" i="14"/>
  <c r="M115" i="14"/>
  <c r="L115" i="14"/>
  <c r="H114" i="14"/>
  <c r="G114" i="14"/>
  <c r="I32" i="20"/>
  <c r="H32" i="20"/>
  <c r="I29" i="20"/>
  <c r="H29" i="20"/>
  <c r="M116" i="14"/>
  <c r="L116" i="14"/>
  <c r="I38" i="20"/>
  <c r="H38" i="20"/>
  <c r="C33" i="20"/>
  <c r="D33" i="20"/>
  <c r="H31" i="20"/>
  <c r="I31" i="20"/>
  <c r="H36" i="20"/>
  <c r="I36" i="20"/>
  <c r="I37" i="20"/>
  <c r="H37" i="20"/>
  <c r="D37" i="20"/>
  <c r="C37" i="20"/>
  <c r="I30" i="20"/>
  <c r="H30" i="20"/>
  <c r="M108" i="14"/>
  <c r="L108" i="14"/>
  <c r="L109" i="14"/>
  <c r="M109" i="14"/>
  <c r="I33" i="20"/>
  <c r="H33" i="20"/>
  <c r="G108" i="14" l="1"/>
  <c r="G110" i="14"/>
  <c r="C29" i="20"/>
  <c r="H113" i="14"/>
  <c r="C32" i="20"/>
  <c r="H109" i="14"/>
  <c r="C31" i="20"/>
  <c r="C38" i="20"/>
  <c r="D30" i="20"/>
  <c r="G117" i="14"/>
  <c r="G116" i="14"/>
  <c r="C35" i="20"/>
  <c r="C34" i="20"/>
  <c r="G111" i="14"/>
</calcChain>
</file>

<file path=xl/sharedStrings.xml><?xml version="1.0" encoding="utf-8"?>
<sst xmlns="http://schemas.openxmlformats.org/spreadsheetml/2006/main" count="8502" uniqueCount="812">
  <si>
    <t>DATA ANALYST PRACTICE LAB</t>
  </si>
  <si>
    <t>Excel 2013 • Data Cleaning • Joining • Analysis • KPI • Dashboard</t>
  </si>
  <si>
    <t>เป้าหมาย</t>
  </si>
  <si>
    <t>ฝึกตั้งแต่ Raw Data → Data Cleansing → รวมข้อมูลหลายตาราง → KPI → วิเคราะห์ → Visualization</t>
  </si>
  <si>
    <t>ระดับ</t>
  </si>
  <si>
    <t>Intermediate / Upper-Intermediate</t>
  </si>
  <si>
    <t>โจทย์หลัก</t>
  </si>
  <si>
    <t>บริษัทจำลองที่มีข้อมูล Sales, Customers, Employees, Products, Performance และ Costs</t>
  </si>
  <si>
    <t>จำนวนข้อมูล</t>
  </si>
  <si>
    <t>Sales 180 รายการ • Employees 95 คน • Customers 50 ราย • Products 20 รายการ • Performance 95 ราย • Costs 42 รายการ</t>
  </si>
  <si>
    <t>ข้อควรระวัง</t>
  </si>
  <si>
    <t>Raw Data ตั้งใจใส่ช่องว่าง ค่าว่าง รูปแบบข้อความไม่สม่ำเสมอ และข้อมูลที่ต้องตรวจสอบ</t>
  </si>
  <si>
    <t>แนะนำ</t>
  </si>
  <si>
    <t>ทำโจทย์ใน Sheet 03 ก่อนเปิดดู Sheet 04-06</t>
  </si>
  <si>
    <t>Excel 2013</t>
  </si>
  <si>
    <t>เน้น Table, SUMIFS, COUNTIFS, IF, VLOOKUP, INDEX/MATCH, PivotTable, Charts และ Data Validation</t>
  </si>
  <si>
    <t>ไฟล์นี้</t>
  </si>
  <si>
    <t>ไม่มีสูตรเฉลยใน Raw Data เพื่อให้ฝึกจริง ส่วนเฉลยเป็นตัวอย่างแนวคิดและสูตร</t>
  </si>
  <si>
    <t>Sale_ID</t>
  </si>
  <si>
    <t>Sale_Date</t>
  </si>
  <si>
    <t>Employee_ID</t>
  </si>
  <si>
    <t>Customer_ID</t>
  </si>
  <si>
    <t>Product_ID</t>
  </si>
  <si>
    <t>Quantity</t>
  </si>
  <si>
    <t>Discount</t>
  </si>
  <si>
    <t>Sales_Amount</t>
  </si>
  <si>
    <t>Cost_Amount</t>
  </si>
  <si>
    <t>Profit</t>
  </si>
  <si>
    <t>Region_Raw</t>
  </si>
  <si>
    <t>Order_Status</t>
  </si>
  <si>
    <t>S0001</t>
  </si>
  <si>
    <t>E069</t>
  </si>
  <si>
    <t xml:space="preserve"> C018</t>
  </si>
  <si>
    <t>P018</t>
  </si>
  <si>
    <t>Northeast</t>
  </si>
  <si>
    <t>Completed</t>
  </si>
  <si>
    <t>S0002</t>
  </si>
  <si>
    <t xml:space="preserve"> E042 </t>
  </si>
  <si>
    <t>C027</t>
  </si>
  <si>
    <t>South</t>
  </si>
  <si>
    <t>S0003</t>
  </si>
  <si>
    <t>E041</t>
  </si>
  <si>
    <t>C040</t>
  </si>
  <si>
    <t>P011</t>
  </si>
  <si>
    <t>Central</t>
  </si>
  <si>
    <t>Pending</t>
  </si>
  <si>
    <t>S0004</t>
  </si>
  <si>
    <t>E079</t>
  </si>
  <si>
    <t>C024</t>
  </si>
  <si>
    <t>P015</t>
  </si>
  <si>
    <t>S0005</t>
  </si>
  <si>
    <t>E004</t>
  </si>
  <si>
    <t>C029</t>
  </si>
  <si>
    <t>P016</t>
  </si>
  <si>
    <t>S0006</t>
  </si>
  <si>
    <t>E082</t>
  </si>
  <si>
    <t>C017</t>
  </si>
  <si>
    <t>P020</t>
  </si>
  <si>
    <t xml:space="preserve"> East </t>
  </si>
  <si>
    <t>S0007</t>
  </si>
  <si>
    <t>E016</t>
  </si>
  <si>
    <t xml:space="preserve"> C032</t>
  </si>
  <si>
    <t>P007</t>
  </si>
  <si>
    <t>East</t>
  </si>
  <si>
    <t>S0008</t>
  </si>
  <si>
    <t>E010</t>
  </si>
  <si>
    <t>C021</t>
  </si>
  <si>
    <t>P009</t>
  </si>
  <si>
    <t>S0009</t>
  </si>
  <si>
    <t xml:space="preserve"> E047 </t>
  </si>
  <si>
    <t>C011</t>
  </si>
  <si>
    <t>P006</t>
  </si>
  <si>
    <t>S0010</t>
  </si>
  <si>
    <t>E028</t>
  </si>
  <si>
    <t>C031</t>
  </si>
  <si>
    <t>S0011</t>
  </si>
  <si>
    <t>E009</t>
  </si>
  <si>
    <t>C010</t>
  </si>
  <si>
    <t>P008</t>
  </si>
  <si>
    <t>S0012</t>
  </si>
  <si>
    <t>E001</t>
  </si>
  <si>
    <t>P013</t>
  </si>
  <si>
    <t>S0013</t>
  </si>
  <si>
    <t>E032</t>
  </si>
  <si>
    <t>C039</t>
  </si>
  <si>
    <t>P017</t>
  </si>
  <si>
    <t>S0014</t>
  </si>
  <si>
    <t>E080</t>
  </si>
  <si>
    <t>C042</t>
  </si>
  <si>
    <t>S0015</t>
  </si>
  <si>
    <t>C008</t>
  </si>
  <si>
    <t>P010</t>
  </si>
  <si>
    <t>S0016</t>
  </si>
  <si>
    <t>E012</t>
  </si>
  <si>
    <t>C035</t>
  </si>
  <si>
    <t>P001</t>
  </si>
  <si>
    <t>S0017</t>
  </si>
  <si>
    <t>E094</t>
  </si>
  <si>
    <t>C028</t>
  </si>
  <si>
    <t>P002</t>
  </si>
  <si>
    <t>S0018</t>
  </si>
  <si>
    <t>C023</t>
  </si>
  <si>
    <t>North</t>
  </si>
  <si>
    <t>S0019</t>
  </si>
  <si>
    <t>E073</t>
  </si>
  <si>
    <t>S0020</t>
  </si>
  <si>
    <t>E037</t>
  </si>
  <si>
    <t>C015</t>
  </si>
  <si>
    <t>S0021</t>
  </si>
  <si>
    <t>E081</t>
  </si>
  <si>
    <t>S0022</t>
  </si>
  <si>
    <t>E021</t>
  </si>
  <si>
    <t>C003</t>
  </si>
  <si>
    <t>S0023</t>
  </si>
  <si>
    <t>E044</t>
  </si>
  <si>
    <t>C043</t>
  </si>
  <si>
    <t>P003</t>
  </si>
  <si>
    <t xml:space="preserve"> Central </t>
  </si>
  <si>
    <t>S0024</t>
  </si>
  <si>
    <t>E066</t>
  </si>
  <si>
    <t>C019</t>
  </si>
  <si>
    <t>P019</t>
  </si>
  <si>
    <t>Cancelled</t>
  </si>
  <si>
    <t>S0025</t>
  </si>
  <si>
    <t>E074</t>
  </si>
  <si>
    <t>C050</t>
  </si>
  <si>
    <t>S0026</t>
  </si>
  <si>
    <t>E048</t>
  </si>
  <si>
    <t>C026</t>
  </si>
  <si>
    <t>S0027</t>
  </si>
  <si>
    <t>E045</t>
  </si>
  <si>
    <t>S0028</t>
  </si>
  <si>
    <t>E076</t>
  </si>
  <si>
    <t>C012</t>
  </si>
  <si>
    <t>S0029</t>
  </si>
  <si>
    <t>E059</t>
  </si>
  <si>
    <t>C018</t>
  </si>
  <si>
    <t xml:space="preserve"> Northeast </t>
  </si>
  <si>
    <t>S0030</t>
  </si>
  <si>
    <t>E055</t>
  </si>
  <si>
    <t>S0031</t>
  </si>
  <si>
    <t>E046</t>
  </si>
  <si>
    <t>C041</t>
  </si>
  <si>
    <t>S0032</t>
  </si>
  <si>
    <t>C047</t>
  </si>
  <si>
    <t>P012</t>
  </si>
  <si>
    <t>S0033</t>
  </si>
  <si>
    <t>E005</t>
  </si>
  <si>
    <t>C037</t>
  </si>
  <si>
    <t>S0034</t>
  </si>
  <si>
    <t xml:space="preserve"> E007 </t>
  </si>
  <si>
    <t>C009</t>
  </si>
  <si>
    <t>P004</t>
  </si>
  <si>
    <t>S0035</t>
  </si>
  <si>
    <t>E051</t>
  </si>
  <si>
    <t>S0036</t>
  </si>
  <si>
    <t xml:space="preserve"> E048 </t>
  </si>
  <si>
    <t>S0037</t>
  </si>
  <si>
    <t>C030</t>
  </si>
  <si>
    <t>S0038</t>
  </si>
  <si>
    <t>E013</t>
  </si>
  <si>
    <t>C034</t>
  </si>
  <si>
    <t>P014</t>
  </si>
  <si>
    <t>S0039</t>
  </si>
  <si>
    <t>C022</t>
  </si>
  <si>
    <t>S0040</t>
  </si>
  <si>
    <t>C014</t>
  </si>
  <si>
    <t>S0041</t>
  </si>
  <si>
    <t>E022</t>
  </si>
  <si>
    <t>S0042</t>
  </si>
  <si>
    <t>E060</t>
  </si>
  <si>
    <t>C046</t>
  </si>
  <si>
    <t>S0043</t>
  </si>
  <si>
    <t>E077</t>
  </si>
  <si>
    <t>C049</t>
  </si>
  <si>
    <t>S0044</t>
  </si>
  <si>
    <t>S0045</t>
  </si>
  <si>
    <t>E070</t>
  </si>
  <si>
    <t>S0046</t>
  </si>
  <si>
    <t xml:space="preserve"> E072 </t>
  </si>
  <si>
    <t>S0047</t>
  </si>
  <si>
    <t>E047</t>
  </si>
  <si>
    <t>C006</t>
  </si>
  <si>
    <t>S0048</t>
  </si>
  <si>
    <t>E011</t>
  </si>
  <si>
    <t>C048</t>
  </si>
  <si>
    <t>S0049</t>
  </si>
  <si>
    <t xml:space="preserve"> South </t>
  </si>
  <si>
    <t>S0050</t>
  </si>
  <si>
    <t>E040</t>
  </si>
  <si>
    <t>S0051</t>
  </si>
  <si>
    <t>E067</t>
  </si>
  <si>
    <t>C001</t>
  </si>
  <si>
    <t>S0052</t>
  </si>
  <si>
    <t>E088</t>
  </si>
  <si>
    <t>P005</t>
  </si>
  <si>
    <t>S0053</t>
  </si>
  <si>
    <t>E024</t>
  </si>
  <si>
    <t>S0054</t>
  </si>
  <si>
    <t xml:space="preserve"> E064 </t>
  </si>
  <si>
    <t>S0055</t>
  </si>
  <si>
    <t>E063</t>
  </si>
  <si>
    <t>C020</t>
  </si>
  <si>
    <t>S0056</t>
  </si>
  <si>
    <t>S0057</t>
  </si>
  <si>
    <t>E064</t>
  </si>
  <si>
    <t>S0058</t>
  </si>
  <si>
    <t>E034</t>
  </si>
  <si>
    <t>S0059</t>
  </si>
  <si>
    <t>C025</t>
  </si>
  <si>
    <t>S0060</t>
  </si>
  <si>
    <t>E025</t>
  </si>
  <si>
    <t>S0061</t>
  </si>
  <si>
    <t>E056</t>
  </si>
  <si>
    <t>S0062</t>
  </si>
  <si>
    <t>S0063</t>
  </si>
  <si>
    <t>E087</t>
  </si>
  <si>
    <t>S0064</t>
  </si>
  <si>
    <t>E008</t>
  </si>
  <si>
    <t>C016</t>
  </si>
  <si>
    <t>S0065</t>
  </si>
  <si>
    <t>E015</t>
  </si>
  <si>
    <t>S0066</t>
  </si>
  <si>
    <t>E035</t>
  </si>
  <si>
    <t>S0067</t>
  </si>
  <si>
    <t>E002</t>
  </si>
  <si>
    <t>S0068</t>
  </si>
  <si>
    <t>C004</t>
  </si>
  <si>
    <t>S0069</t>
  </si>
  <si>
    <t>S0070</t>
  </si>
  <si>
    <t>E061</t>
  </si>
  <si>
    <t>C038</t>
  </si>
  <si>
    <t>S0071</t>
  </si>
  <si>
    <t>E054</t>
  </si>
  <si>
    <t>C044</t>
  </si>
  <si>
    <t>S0072</t>
  </si>
  <si>
    <t>E092</t>
  </si>
  <si>
    <t>S0073</t>
  </si>
  <si>
    <t>S0074</t>
  </si>
  <si>
    <t>E068</t>
  </si>
  <si>
    <t>S0075</t>
  </si>
  <si>
    <t>C032</t>
  </si>
  <si>
    <t>S0076</t>
  </si>
  <si>
    <t>E020</t>
  </si>
  <si>
    <t>S0077</t>
  </si>
  <si>
    <t>S0078</t>
  </si>
  <si>
    <t xml:space="preserve"> E022 </t>
  </si>
  <si>
    <t>S0079</t>
  </si>
  <si>
    <t>S0080</t>
  </si>
  <si>
    <t xml:space="preserve"> E033 </t>
  </si>
  <si>
    <t>S0081</t>
  </si>
  <si>
    <t>S0082</t>
  </si>
  <si>
    <t>S0083</t>
  </si>
  <si>
    <t>S0084</t>
  </si>
  <si>
    <t>E039</t>
  </si>
  <si>
    <t>S0085</t>
  </si>
  <si>
    <t>S0086</t>
  </si>
  <si>
    <t xml:space="preserve"> C033</t>
  </si>
  <si>
    <t>S0087</t>
  </si>
  <si>
    <t xml:space="preserve"> E005 </t>
  </si>
  <si>
    <t>S0088</t>
  </si>
  <si>
    <t>E085</t>
  </si>
  <si>
    <t>C005</t>
  </si>
  <si>
    <t>S0089</t>
  </si>
  <si>
    <t>S0090</t>
  </si>
  <si>
    <t>E018</t>
  </si>
  <si>
    <t>S0091</t>
  </si>
  <si>
    <t xml:space="preserve"> C046</t>
  </si>
  <si>
    <t>S0092</t>
  </si>
  <si>
    <t>S0093</t>
  </si>
  <si>
    <t>S0094</t>
  </si>
  <si>
    <t>S0095</t>
  </si>
  <si>
    <t>C036</t>
  </si>
  <si>
    <t>S0096</t>
  </si>
  <si>
    <t>E029</t>
  </si>
  <si>
    <t>S0097</t>
  </si>
  <si>
    <t>E086</t>
  </si>
  <si>
    <t>S0098</t>
  </si>
  <si>
    <t>E057</t>
  </si>
  <si>
    <t>S0099</t>
  </si>
  <si>
    <t>S0100</t>
  </si>
  <si>
    <t>E071</t>
  </si>
  <si>
    <t>S0101</t>
  </si>
  <si>
    <t>S0102</t>
  </si>
  <si>
    <t>S0103</t>
  </si>
  <si>
    <t>S0104</t>
  </si>
  <si>
    <t>S0105</t>
  </si>
  <si>
    <t>E030</t>
  </si>
  <si>
    <t>S0106</t>
  </si>
  <si>
    <t>S0107</t>
  </si>
  <si>
    <t>E036</t>
  </si>
  <si>
    <t>S0108</t>
  </si>
  <si>
    <t>S0109</t>
  </si>
  <si>
    <t>S0110</t>
  </si>
  <si>
    <t xml:space="preserve"> central </t>
  </si>
  <si>
    <t>S0111</t>
  </si>
  <si>
    <t>S0112</t>
  </si>
  <si>
    <t>S0113</t>
  </si>
  <si>
    <t>S0114</t>
  </si>
  <si>
    <t>E017</t>
  </si>
  <si>
    <t>S0115</t>
  </si>
  <si>
    <t>S0116</t>
  </si>
  <si>
    <t>S0117</t>
  </si>
  <si>
    <t>S0118</t>
  </si>
  <si>
    <t>S0119</t>
  </si>
  <si>
    <t>C013</t>
  </si>
  <si>
    <t>S0120</t>
  </si>
  <si>
    <t>E043</t>
  </si>
  <si>
    <t>S0121</t>
  </si>
  <si>
    <t>S0122</t>
  </si>
  <si>
    <t>S0123</t>
  </si>
  <si>
    <t>S0124</t>
  </si>
  <si>
    <t>E014</t>
  </si>
  <si>
    <t>S0125</t>
  </si>
  <si>
    <t>C045</t>
  </si>
  <si>
    <t>S0126</t>
  </si>
  <si>
    <t>S0127</t>
  </si>
  <si>
    <t>S0128</t>
  </si>
  <si>
    <t>S0129</t>
  </si>
  <si>
    <t>S0130</t>
  </si>
  <si>
    <t>S0131</t>
  </si>
  <si>
    <t>S0132</t>
  </si>
  <si>
    <t>E075</t>
  </si>
  <si>
    <t>S0133</t>
  </si>
  <si>
    <t xml:space="preserve"> E051 </t>
  </si>
  <si>
    <t>S0134</t>
  </si>
  <si>
    <t>E007</t>
  </si>
  <si>
    <t>S0135</t>
  </si>
  <si>
    <t>S0136</t>
  </si>
  <si>
    <t>S0137</t>
  </si>
  <si>
    <t>E078</t>
  </si>
  <si>
    <t>S0138</t>
  </si>
  <si>
    <t>S0139</t>
  </si>
  <si>
    <t>S0140</t>
  </si>
  <si>
    <t>E058</t>
  </si>
  <si>
    <t>S0141</t>
  </si>
  <si>
    <t>E027</t>
  </si>
  <si>
    <t>S0142</t>
  </si>
  <si>
    <t>S0143</t>
  </si>
  <si>
    <t xml:space="preserve"> E031 </t>
  </si>
  <si>
    <t xml:space="preserve"> completed </t>
  </si>
  <si>
    <t>S0144</t>
  </si>
  <si>
    <t>E090</t>
  </si>
  <si>
    <t>S0145</t>
  </si>
  <si>
    <t>S0146</t>
  </si>
  <si>
    <t>E049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</si>
  <si>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</si>
  <si>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</si>
  <si>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</si>
  <si>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</si>
  <si>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</si>
  <si>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</si>
  <si>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</si>
  <si>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</si>
  <si>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</si>
  <si>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E019</t>
  </si>
  <si>
    <t>S0156</t>
  </si>
  <si>
    <t>S0157</t>
  </si>
  <si>
    <t>S0158</t>
  </si>
  <si>
    <t>E006</t>
  </si>
  <si>
    <t>S0159</t>
  </si>
  <si>
    <t>S0160</t>
  </si>
  <si>
    <t>S0161</t>
  </si>
  <si>
    <t>S0162</t>
  </si>
  <si>
    <t>E031</t>
  </si>
  <si>
    <t>S0163</t>
  </si>
  <si>
    <t>S0164</t>
  </si>
  <si>
    <t>E042</t>
  </si>
  <si>
    <t>S0165</t>
  </si>
  <si>
    <t>C033</t>
  </si>
  <si>
    <t>S0166</t>
  </si>
  <si>
    <t>E084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</si>
  <si>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</si>
  <si>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</si>
  <si>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</si>
  <si>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</si>
  <si>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</si>
  <si>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</si>
  <si>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</si>
  <si>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</si>
  <si>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</si>
  <si>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E083</t>
  </si>
  <si>
    <t>S0176</t>
  </si>
  <si>
    <t>S0177</t>
  </si>
  <si>
    <t>S0178</t>
  </si>
  <si>
    <t xml:space="preserve"> E073 </t>
  </si>
  <si>
    <t xml:space="preserve"> C050</t>
  </si>
  <si>
    <t>S0179</t>
  </si>
  <si>
    <t>S0180</t>
  </si>
  <si>
    <t>Customer_Name</t>
  </si>
  <si>
    <t>Customer_Segment</t>
  </si>
  <si>
    <t>Region</t>
  </si>
  <si>
    <t>Customer_Tier</t>
  </si>
  <si>
    <t>บริษัท อัลฟ่า เทรดดิ้ง จำกัด</t>
  </si>
  <si>
    <t>Enterprise</t>
  </si>
  <si>
    <t>Silver</t>
  </si>
  <si>
    <t>C002</t>
  </si>
  <si>
    <t>บริษัท เบต้า รีเทล จำกัด</t>
  </si>
  <si>
    <t>Retail Chain</t>
  </si>
  <si>
    <t>Gold</t>
  </si>
  <si>
    <t>บริษัท กรีนเวฟ จำกัด</t>
  </si>
  <si>
    <t>บริษัท นอร์ทสตาร์ จำกัด</t>
  </si>
  <si>
    <t>Bronze</t>
  </si>
  <si>
    <t>บริษัท พรีเมียมโฮม จำกัด</t>
  </si>
  <si>
    <t>บริษัท เอเชียซัพพลาย จำกัด</t>
  </si>
  <si>
    <t>C007</t>
  </si>
  <si>
    <t>บริษัท สยามอินดัสเทรียล จำกัด</t>
  </si>
  <si>
    <t>บริษัท เมโทรมาร์ท จำกัด</t>
  </si>
  <si>
    <t>บริษัท ฟิวเจอร์ลิงก์ จำกัด</t>
  </si>
  <si>
    <t>SME</t>
  </si>
  <si>
    <t>บริษัท โกลบอลคอนเนค จำกัด</t>
  </si>
  <si>
    <t>บริษัท ไบรท์โซลูชัน จำกัด</t>
  </si>
  <si>
    <t>บริษัท ไทยโปรซิสเต็ม จำกัด</t>
  </si>
  <si>
    <t>บริษัท วันสต็อป เซอร์วิส จำกัด</t>
  </si>
  <si>
    <t>บริษัท เน็กซ์เจน จำกัด</t>
  </si>
  <si>
    <t>บริษัท ไพรม์เวิร์ค จำกัด</t>
  </si>
  <si>
    <t>บริษัท บลูโอเชียน จำกัด</t>
  </si>
  <si>
    <t>บริษัท เรดโรส จำกัด</t>
  </si>
  <si>
    <t>บริษัท ซันไรส์ จำกัด</t>
  </si>
  <si>
    <t>บริษัท เอเวอร์กรีน จำกัด</t>
  </si>
  <si>
    <t>บริษัท เอ็มไพร์โซลูชัน จำกัด</t>
  </si>
  <si>
    <t>บริษัท แกรนด์เอเชีย จำกัด</t>
  </si>
  <si>
    <t>บริษัท ไอเดียพลัส จำกัด</t>
  </si>
  <si>
    <t>บริษัท โฟกัสซัพพลาย จำกัด</t>
  </si>
  <si>
    <t>บริษัท ควอลิตี้พาร์ท จำกัด</t>
  </si>
  <si>
    <t>บริษัท เซ็นทรัลเทค จำกัด</t>
  </si>
  <si>
    <t>บริษัท สมาร์ทเวิร์ค จำกัด</t>
  </si>
  <si>
    <t>บริษัท อินโนเวท จำกัด</t>
  </si>
  <si>
    <t>บริษัท สปีดคอมเมิร์ซ จำกัด</t>
  </si>
  <si>
    <t>บริษัท ทรีสตาร์ จำกัด</t>
  </si>
  <si>
    <t>บริษัท วิชั่นเน็ต จำกัด</t>
  </si>
  <si>
    <t>บริษัท โปรเกรสซีฟ จำกัด</t>
  </si>
  <si>
    <t>บริษัท ซิตี้ลิงก์ จำกัด</t>
  </si>
  <si>
    <t>บริษัท โมเดิร์นเทรด จำกัด</t>
  </si>
  <si>
    <t>บริษัท ยูนิตี้ จำกัด</t>
  </si>
  <si>
    <t>บริษัท พีคเพอร์ฟอร์แมนซ์ จำกัด</t>
  </si>
  <si>
    <t>บริษัท เอ็กซ์เซลเลนท์ จำกัด</t>
  </si>
  <si>
    <t>บริษัท เอ็นเตอร์ไพรส์ไทย จำกัด</t>
  </si>
  <si>
    <t>บริษัท โกลด์สโตน จำกัด</t>
  </si>
  <si>
    <t>บริษัท เวลธ์เทรด จำกัด</t>
  </si>
  <si>
    <t>บริษัท ซิกม่า จำกัด</t>
  </si>
  <si>
    <t>บริษัท มาร์เก็ตพลัส จำกัด</t>
  </si>
  <si>
    <t>บริษัท ครีเอทีฟเวิร์ค จำกัด</t>
  </si>
  <si>
    <t>บริษัท ดิจิเทค จำกัด</t>
  </si>
  <si>
    <t>บริษัท ออริจินัลซัพพลาย จำกัด</t>
  </si>
  <si>
    <t>บริษัท เอเชียเน็ต จำกัด</t>
  </si>
  <si>
    <t>บริษัท สตาร์มาร์ท จำกัด</t>
  </si>
  <si>
    <t>บริษัท เฟิร์สช้อยส์ จำกัด</t>
  </si>
  <si>
    <t>บริษัท ไทยโฮลดิ้ง จำกัด</t>
  </si>
  <si>
    <t>บริษัท อีโคซัพพลาย จำกัด</t>
  </si>
  <si>
    <t>บริษัท พีเอสเอส จำกัด</t>
  </si>
  <si>
    <t>Product_Name</t>
  </si>
  <si>
    <t>Category</t>
  </si>
  <si>
    <t>Unit_Cost</t>
  </si>
  <si>
    <t>List_Price</t>
  </si>
  <si>
    <t>Laptop Pro 14</t>
  </si>
  <si>
    <t>IT Equipment</t>
  </si>
  <si>
    <t>Laptop Business 15</t>
  </si>
  <si>
    <t>Monitor 27 Inch</t>
  </si>
  <si>
    <t>Mechanical Keyboard</t>
  </si>
  <si>
    <t>Accessories</t>
  </si>
  <si>
    <t>Wireless Mouse</t>
  </si>
  <si>
    <t>Office Chair Ergo</t>
  </si>
  <si>
    <t>Office</t>
  </si>
  <si>
    <t>Standing Desk</t>
  </si>
  <si>
    <t>Printer Laser</t>
  </si>
  <si>
    <t>Network Switch</t>
  </si>
  <si>
    <t>SSD 1TB</t>
  </si>
  <si>
    <t>Webcam HD</t>
  </si>
  <si>
    <t>Headset Pro</t>
  </si>
  <si>
    <t>Tablet 10 Inch</t>
  </si>
  <si>
    <t>Projector</t>
  </si>
  <si>
    <t>Router WiFi 6</t>
  </si>
  <si>
    <t>UPS 1000VA</t>
  </si>
  <si>
    <t>Office Desk</t>
  </si>
  <si>
    <t>USB-C Dock</t>
  </si>
  <si>
    <t>External HDD 2TB</t>
  </si>
  <si>
    <t>Barcode Scanner</t>
  </si>
  <si>
    <t>Operations</t>
  </si>
  <si>
    <t>Employee_Name</t>
  </si>
  <si>
    <t>Department</t>
  </si>
  <si>
    <t>Level</t>
  </si>
  <si>
    <t>Monthly_Salary</t>
  </si>
  <si>
    <t>Performance_Target</t>
  </si>
  <si>
    <t>นที นาคะ</t>
  </si>
  <si>
    <t>Sales</t>
  </si>
  <si>
    <t>Mid</t>
  </si>
  <si>
    <t>วรพล ธนากุล</t>
  </si>
  <si>
    <t>Senior</t>
  </si>
  <si>
    <t>E003</t>
  </si>
  <si>
    <t>อัญชลี ทองดี</t>
  </si>
  <si>
    <t>Junior</t>
  </si>
  <si>
    <t>อัญชลี เจริญกิจ</t>
  </si>
  <si>
    <t>ปวีณา วัฒนชัย</t>
  </si>
  <si>
    <t>สุภัสสรา ศักดิ์ชัย</t>
  </si>
  <si>
    <t>ณัฐริกา ภักดี</t>
  </si>
  <si>
    <t>วรัญญา บุญมี</t>
  </si>
  <si>
    <t>สิริกานต์ มงคลชัย</t>
  </si>
  <si>
    <t>สุภัสสรา ศรีทอง</t>
  </si>
  <si>
    <t>ณิชา ภักดี</t>
  </si>
  <si>
    <t>วรเมธ กาญจนวัฒน์</t>
  </si>
  <si>
    <t>ธนพร ไชยวงศ์</t>
  </si>
  <si>
    <t>พัชราภา วงศ์วัฒนะ</t>
  </si>
  <si>
    <t>ภานุวัฒน์ ศรีทอง</t>
  </si>
  <si>
    <t>วุฒิชัย ปรีชานนท์</t>
  </si>
  <si>
    <t>ภูวดล วิชัยดิษฐ์</t>
  </si>
  <si>
    <t>ชุติมา แสงทอง</t>
  </si>
  <si>
    <t>อริสรา ไพศาล</t>
  </si>
  <si>
    <t>ปกรณ์ ไชยวงศ์</t>
  </si>
  <si>
    <t>นราวิชญ์ รุ่งเรือง</t>
  </si>
  <si>
    <t>สิรภพ เจริญพร</t>
  </si>
  <si>
    <t>E023</t>
  </si>
  <si>
    <t>รวิ สมบูรณ์</t>
  </si>
  <si>
    <t>นภัสสร ศักดิ์ชัย</t>
  </si>
  <si>
    <t>สิริกานต์ สุขเกษม</t>
  </si>
  <si>
    <t>E026</t>
  </si>
  <si>
    <t>เจษฎา กุลธร</t>
  </si>
  <si>
    <t>นภัสสร รุ่งเรือง</t>
  </si>
  <si>
    <t>อธิป สมบูรณ์</t>
  </si>
  <si>
    <t>ณัฐณิชา สกุลไทย</t>
  </si>
  <si>
    <t>Finance</t>
  </si>
  <si>
    <t>ศุภชัย พัฒนวงศ์</t>
  </si>
  <si>
    <t>ณัฐณิชา ประเสริฐสุข</t>
  </si>
  <si>
    <t>รณกร รุ่งเรือง</t>
  </si>
  <si>
    <t>E033</t>
  </si>
  <si>
    <t>เจษฎา กาญจนวัฒน์</t>
  </si>
  <si>
    <t>ณัฐริกา ศรีนคร</t>
  </si>
  <si>
    <t>อัครพล บุญมี</t>
  </si>
  <si>
    <t>ปิยธิดา สุนทร</t>
  </si>
  <si>
    <t>นภัสสร จันทร์โอชา</t>
  </si>
  <si>
    <t>E038</t>
  </si>
  <si>
    <t>สุภัสสรา เจริญกิจ</t>
  </si>
  <si>
    <t>ภาคิน พูนทรัพย์</t>
  </si>
  <si>
    <t>สิริกานต์ วัฒนกุล</t>
  </si>
  <si>
    <t>รัชชานนท์ วงศ์วัฒนะ</t>
  </si>
  <si>
    <t>IT</t>
  </si>
  <si>
    <t>ศุภชัย วิชัยดิษฐ์</t>
  </si>
  <si>
    <t>ศศิธร รัตนโชติ</t>
  </si>
  <si>
    <t>อธิป สุขเกษม</t>
  </si>
  <si>
    <t>ธนกร วรานนท์</t>
  </si>
  <si>
    <t>ชุติมา ศรีสวัสดิ์</t>
  </si>
  <si>
    <t>พิมพ์ลภัส รุ่งเรือง</t>
  </si>
  <si>
    <t>นภัสสร วรเศรษฐ์</t>
  </si>
  <si>
    <t>ชยพล วัฒนกุล</t>
  </si>
  <si>
    <t>E050</t>
  </si>
  <si>
    <t>ปวีณา พงษ์พานิช</t>
  </si>
  <si>
    <t>รินรดา วงศ์วัฒนะ</t>
  </si>
  <si>
    <t>HR</t>
  </si>
  <si>
    <t>E052</t>
  </si>
  <si>
    <t>ณัฐดนัย แสงทอง</t>
  </si>
  <si>
    <t>E053</t>
  </si>
  <si>
    <t>สรวิชญ์ มณีรัตน์</t>
  </si>
  <si>
    <t>รินรดา ศักดิ์ชัย</t>
  </si>
  <si>
    <t>รณกร มงคลชัย</t>
  </si>
  <si>
    <t>ณัฐริกา บุญส่ง</t>
  </si>
  <si>
    <t>ศรัณย์ อินทรา</t>
  </si>
  <si>
    <t>เอกภพ มณีรัตน์</t>
  </si>
  <si>
    <t>ธีรภัทร ศรีทอง</t>
  </si>
  <si>
    <t>ศุภณัฐ ศรีสวัสดิ์</t>
  </si>
  <si>
    <t>ชญานิศ พิบูลย์</t>
  </si>
  <si>
    <t>E062</t>
  </si>
  <si>
    <t>นราวิชญ์ ศรีทอง</t>
  </si>
  <si>
    <t>ภาคภูมิ วรเศรษฐ์</t>
  </si>
  <si>
    <t>พิชชาภา วัฒนชัย</t>
  </si>
  <si>
    <t>E065</t>
  </si>
  <si>
    <t>นภัสสร สุนทร</t>
  </si>
  <si>
    <t>นภัสสร รัตนกุล</t>
  </si>
  <si>
    <t>ภูริ กาญจนวัฒน์</t>
  </si>
  <si>
    <t>ชลธิชา ธรรมรักษ์</t>
  </si>
  <si>
    <t>อัครพล จันทร์โอชา</t>
  </si>
  <si>
    <t>ชุติมา รุ่งเรือง</t>
  </si>
  <si>
    <t>พิมพ์ชนก สุนทร</t>
  </si>
  <si>
    <t>E072</t>
  </si>
  <si>
    <t>ศรัณย์ ชัยมงคล</t>
  </si>
  <si>
    <t>มนัสวี ธรรมรักษ์</t>
  </si>
  <si>
    <t>พิมพ์ชนก พงษ์พานิช</t>
  </si>
  <si>
    <t>ภูริ ชูศักดิ์</t>
  </si>
  <si>
    <t>ศรัณย์ แสงทอง</t>
  </si>
  <si>
    <t>สุภัสสรา พัฒนวงศ์</t>
  </si>
  <si>
    <t>Marketing</t>
  </si>
  <si>
    <t>รณกร ศรีทอง</t>
  </si>
  <si>
    <t>ธนโชติ สกุลไทย</t>
  </si>
  <si>
    <t>ชุติมา ศักดิ์ชัย</t>
  </si>
  <si>
    <t>อัญชลี ชาญณรงค์</t>
  </si>
  <si>
    <t>ณัฐณิชา พูนทรัพย์</t>
  </si>
  <si>
    <t>อนุชา รุ่งเรือง</t>
  </si>
  <si>
    <t>ชยพล ชาญณรงค์</t>
  </si>
  <si>
    <t>ธนโชติ มงคลชัย</t>
  </si>
  <si>
    <t>ชนาภา วัฒนชัย</t>
  </si>
  <si>
    <t>ภานุวัฒน์ ภักดี</t>
  </si>
  <si>
    <t>Customer Service</t>
  </si>
  <si>
    <t>ณัฐริกา กิตติวัฒน์</t>
  </si>
  <si>
    <t>E089</t>
  </si>
  <si>
    <t>วรัญญา วัฒนศิลป์</t>
  </si>
  <si>
    <t>ชยพล มณีรัตน์</t>
  </si>
  <si>
    <t>E091</t>
  </si>
  <si>
    <t>ศิรินภา กุลธร</t>
  </si>
  <si>
    <t>ณัฐพล พัฒนวงศ์</t>
  </si>
  <si>
    <t>E093</t>
  </si>
  <si>
    <t>เจษฎา รุ่งเรือง</t>
  </si>
  <si>
    <t>สรวิชญ์ อุดมทรัพย์</t>
  </si>
  <si>
    <t>E095</t>
  </si>
  <si>
    <t>ณัฐณิชา ไพศาล</t>
  </si>
  <si>
    <t>Actual_Result</t>
  </si>
  <si>
    <t>Quality_Score</t>
  </si>
  <si>
    <t>Attendance_Score</t>
  </si>
  <si>
    <t>Teamwork_Score</t>
  </si>
  <si>
    <t>Customer_Score</t>
  </si>
  <si>
    <t>Overall_Score</t>
  </si>
  <si>
    <t>Month</t>
  </si>
  <si>
    <t>Overhead_Cost</t>
  </si>
  <si>
    <t>Cost_Type</t>
  </si>
  <si>
    <t>2025-01</t>
  </si>
  <si>
    <t>Software</t>
  </si>
  <si>
    <t>Training</t>
  </si>
  <si>
    <t>Travel</t>
  </si>
  <si>
    <t>2025-02</t>
  </si>
  <si>
    <t>Utilities</t>
  </si>
  <si>
    <t>2025-03</t>
  </si>
  <si>
    <t>2025-04</t>
  </si>
  <si>
    <t>2025-05</t>
  </si>
  <si>
    <t>2025-06</t>
  </si>
  <si>
    <t>A. Data Cleaning</t>
  </si>
  <si>
    <t>1. ลบ/แก้ leading/trailing spaces ใน Employee_ID, Customer_ID, Region_Raw, Order_Status</t>
  </si>
  <si>
    <t>2. ตรวจค่าว่างใน Quantity, Discount, Region_Raw, Order_Status และตัดสินใจว่าจะเติม/ตัดทิ้งอย่างไร</t>
  </si>
  <si>
    <t>3. ทำให้ Order_Status เป็นรูปแบบเดียวกัน เช่น Completed / Pending / Cancelled</t>
  </si>
  <si>
    <t>4. ตรวจ duplicate ของ Sale_ID และตรวจความถูกต้องของ Employee_ID / Customer_ID / Product_ID</t>
  </si>
  <si>
    <t>5. สร้าง Region_Clean จาก Region_Raw โดยทำความสะอาดข้อความ</t>
  </si>
  <si>
    <t>B. Data Combining</t>
  </si>
  <si>
    <t>6. ดึง Employee_Name และ Department จาก Employees มาใส่ใน Sales</t>
  </si>
  <si>
    <t>7. ดึง Customer_Name, Segment, Tier จาก Customers มาใส่ใน Sales</t>
  </si>
  <si>
    <t>8. ดึง Product_Name, Category, Unit_Cost, List_Price จาก Products มาใส่ใน Sales</t>
  </si>
  <si>
    <t>9. สร้าง Net_Sales = Quantity × List_Price × (1-Discount) และตรวจเทียบ Sales_Amount</t>
  </si>
  <si>
    <t>C. KPI</t>
  </si>
  <si>
    <t>10. คำนวณยอดขายรวม กำไรรวม Margin % และจำนวน Order แยกตาม Department</t>
  </si>
  <si>
    <t>11. หา Top 10 Employees ตามยอดขายและ Top 10 ตาม Profit</t>
  </si>
  <si>
    <t>12. คำนวณ Target Attainment = Actual_Result / Performance_Target</t>
  </si>
  <si>
    <t>13. จัด Band ผลงานตามเกณฑ์ Bonus และคำนวณ Bonus Amount</t>
  </si>
  <si>
    <t>14. หา Average Overall Score ของแต่ละ Department</t>
  </si>
  <si>
    <t>15. หา Employee ที่ Overall Score ≥ 85 และ Target Attainment ≥ 100%</t>
  </si>
  <si>
    <t>D. Analysis</t>
  </si>
  <si>
    <t>16. วิเคราะห์ว่าคนที่เงินเดือนสูงมี Performance สูงตามหรือไม่</t>
  </si>
  <si>
    <t>17. วิเคราะห์ Customer Tier ไหนสร้างยอดขายและกำไรมากที่สุด</t>
  </si>
  <si>
    <t>18. วิเคราะห์ Product Category ที่ Margin ต่ำผิดปกติ</t>
  </si>
  <si>
    <t>19. หาเดือนที่ยอดขายสูงสุดและต่ำสุด</t>
  </si>
  <si>
    <t>20. หา Department ที่ Profit per Employee สูงที่สุด</t>
  </si>
  <si>
    <t>E. Visualization</t>
  </si>
  <si>
    <t>21. สร้าง Column Chart: Sales by Department</t>
  </si>
  <si>
    <t>22. สร้าง Bar Chart: Top 10 Employees by Profit</t>
  </si>
  <si>
    <t>23. สร้าง Line Chart: Monthly Sales Trend</t>
  </si>
  <si>
    <t>24. สร้าง Combo/Column chart: Actual Result vs Target by Department</t>
  </si>
  <si>
    <t>25. สร้าง Dashboard 1 หน้า มี KPI cards + 3-4 charts + slicer ถ้ารองรับ</t>
  </si>
  <si>
    <t>F. Business Case</t>
  </si>
  <si>
    <t>26. ผู้บริหารต้องการจ่ายโบนัสโดยไม่ให้คนที่ผลงานต่ำกว่าเกณฑ์ได้รับโบนัส ให้สร้างตารางตัดสินโบนัส</t>
  </si>
  <si>
    <t>27. เสนอ 3 ข้อสรุปเชิงธุรกิจจากข้อมูล พร้อม evidence เป็นตัวเลข</t>
  </si>
  <si>
    <t>28. เสนอ 3 data quality issues ที่ควรป้องกันตั้งแต่ต้นทาง</t>
  </si>
  <si>
    <t>Region_Clean</t>
  </si>
  <si>
    <t>Sales_Calc</t>
  </si>
  <si>
    <t>Net_Sales_Check</t>
  </si>
  <si>
    <t>Margin_%</t>
  </si>
  <si>
    <t>Unknown</t>
  </si>
  <si>
    <t>central</t>
  </si>
  <si>
    <t>Performance Answer</t>
  </si>
  <si>
    <t>Target_Attainment</t>
  </si>
  <si>
    <t>Performance_Band</t>
  </si>
  <si>
    <t>Bonus_%</t>
  </si>
  <si>
    <t>Bonus_Amount</t>
  </si>
  <si>
    <t>Total_Comp_With_Bonus</t>
  </si>
  <si>
    <t>Meets Target</t>
  </si>
  <si>
    <t>Below Target</t>
  </si>
  <si>
    <t>Outstanding</t>
  </si>
  <si>
    <t>Near Target</t>
  </si>
  <si>
    <t>Exceeds Target</t>
  </si>
  <si>
    <t>Department KPI Summary</t>
  </si>
  <si>
    <t>Employees</t>
  </si>
  <si>
    <t>Avg_Score</t>
  </si>
  <si>
    <t>Avg_Target_Attainment</t>
  </si>
  <si>
    <t>Total_Salary</t>
  </si>
  <si>
    <t>Total_Bonus</t>
  </si>
  <si>
    <t>Avg_Actual</t>
  </si>
  <si>
    <t>หัวข้อ</t>
  </si>
  <si>
    <t>ตัวอย่างสูตร Excel 2013</t>
  </si>
  <si>
    <t>ใช้ทำอะไร</t>
  </si>
  <si>
    <t>Trim Employee_ID</t>
  </si>
  <si>
    <t>ลบช่องว่างหน้า/ท้าย</t>
  </si>
  <si>
    <t>Normalize Status</t>
  </si>
  <si>
    <t>จัดรูปแบบข้อความ</t>
  </si>
  <si>
    <t>Lookup Employee</t>
  </si>
  <si>
    <t>ดึงชื่อพนักงาน</t>
  </si>
  <si>
    <t>Lookup Department</t>
  </si>
  <si>
    <t>ดึงแผนก</t>
  </si>
  <si>
    <t>Lookup Customer</t>
  </si>
  <si>
    <t>ดึงชื่อลูกค้า</t>
  </si>
  <si>
    <t>Lookup Product</t>
  </si>
  <si>
    <t>ดึงสินค้า</t>
  </si>
  <si>
    <t>Net Sales</t>
  </si>
  <si>
    <t>คำนวณยอดขายสุทธิ</t>
  </si>
  <si>
    <t>Margin %</t>
  </si>
  <si>
    <t>กำไรเป็น % ของยอดขาย</t>
  </si>
  <si>
    <t>SUMIFS</t>
  </si>
  <si>
    <t>รวมยอดตามเงื่อนไข</t>
  </si>
  <si>
    <t>COUNTIFS</t>
  </si>
  <si>
    <t>นับตามหลายเงื่อนไข</t>
  </si>
  <si>
    <t>Target Attainment</t>
  </si>
  <si>
    <t>Actual ÷ Target</t>
  </si>
  <si>
    <t>Bonus Band</t>
  </si>
  <si>
    <t>จัดระดับโบนัส</t>
  </si>
  <si>
    <t>Bonus Amount</t>
  </si>
  <si>
    <t>เงินโบนัส</t>
  </si>
  <si>
    <t>INDEX/MATCH</t>
  </si>
  <si>
    <t>ทางเลือกแทน VLOOKUP</t>
  </si>
  <si>
    <t>PivotTable</t>
  </si>
  <si>
    <t>Rows=Department; Values=Sales/Profit; Filters=Order_Status</t>
  </si>
  <si>
    <t>สรุปข้อมูล</t>
  </si>
  <si>
    <t>Chart</t>
  </si>
  <si>
    <t>เลือก PivotTable แล้ว Insert &gt; Column/Bar/Line</t>
  </si>
  <si>
    <t>สร้าง Visualization</t>
  </si>
  <si>
    <t>โจทย์</t>
  </si>
  <si>
    <t>ตัวอย่างคำตอบ/สิ่งที่ควรเห็น</t>
  </si>
  <si>
    <t>Sales by Department</t>
  </si>
  <si>
    <t>ใช้ PivotTable: Department เป็น Rows, Sum of Sales_Amount เป็น Values และกรอง Completed</t>
  </si>
  <si>
    <t>Top 10 Employees by Profit</t>
  </si>
  <si>
    <t>Sort Profit จากมากไปน้อย แล้วเลือก 10 อันดับแรก</t>
  </si>
  <si>
    <t>Monthly Sales Trend</t>
  </si>
  <si>
    <t>Group Sale_Date เป็น Month แล้ว Plot Line Chart</t>
  </si>
  <si>
    <t>Actual vs Target</t>
  </si>
  <si>
    <t>รวม Actual_Result และ Performance_Target ตาม Department แล้วใช้ Clustered Column</t>
  </si>
  <si>
    <t>Performance Distribution</t>
  </si>
  <si>
    <t>นับจำนวนพนักงานตาม Performance_Band แล้วทำ Column Chart</t>
  </si>
  <si>
    <t>โบนัส</t>
  </si>
  <si>
    <t>ใช้ Performance_Band + Bonus_Amount เพื่อสรุป Total Bonus ต่อ Department</t>
  </si>
  <si>
    <t>Dashboard KPI</t>
  </si>
  <si>
    <t>Total Sales / Total Profit / Margin % / Completed Orders / Total Bonus</t>
  </si>
  <si>
    <t>หมายเหตุ Excel 2013</t>
  </si>
  <si>
    <t>Slicer ใช้ได้กับ PivotTable/PivotChart แต่ความสามารถต่างจาก Excel รุ่นใหม่ ให้เน้น PivotTable + PivotChart เป็นหลัก</t>
  </si>
  <si>
    <t>คือการหาว่าขายไปกี่ชิ้น ขอ Sale_ID S0018 (BLANK DATA) โดยเอา Cost Amount / Unit Cost ในชีต Product ที่ ID P0008</t>
  </si>
  <si>
    <r>
      <t>= [@[Cost_Amount]] / INDEX('02_Products'!A1:E21,</t>
    </r>
    <r>
      <rPr>
        <sz val="12"/>
        <color rgb="FF4BACC6"/>
        <rFont val="Calibri"/>
        <family val="2"/>
        <scheme val="minor"/>
      </rPr>
      <t>MATCH("P008",'02_Products'!A1:A21,0),</t>
    </r>
    <r>
      <rPr>
        <sz val="12"/>
        <color rgb="FF00B050"/>
        <rFont val="Calibri"/>
        <family val="2"/>
        <scheme val="minor"/>
      </rPr>
      <t>MATCH("Unit_Cost",'02_Products'!A1:E1,0))</t>
    </r>
  </si>
  <si>
    <r>
      <t>=</t>
    </r>
    <r>
      <rPr>
        <sz val="12"/>
        <color rgb="FF000000"/>
        <rFont val="Calibri"/>
        <family val="2"/>
        <scheme val="minor"/>
      </rPr>
      <t>(([@Quantity]*'02_Products'!E15)-H63)/[@[Sales_Amount]]</t>
    </r>
    <r>
      <rPr>
        <sz val="14"/>
        <color rgb="FF000000"/>
        <rFont val="Calibri"/>
        <family val="2"/>
        <scheme val="minor"/>
      </rPr>
      <t xml:space="preserve"> </t>
    </r>
  </si>
  <si>
    <t xml:space="preserve">คือการหา % ส่วนลดของสินค้า จากขายที่ราคาเต็ม X แต่ลดให้ ทำให้ขายไปเพียง Y โดยหาจาก  </t>
  </si>
  <si>
    <t>[(จำนวนสินค้าขาย*ราคาขายต่อหน่วย) - ราคาขายจริง = ราคาขายที่ลดให้] / ราคาที่ขายไป = ร้อยละ หรือ % ที่ลดลงไป</t>
  </si>
  <si>
    <t>Unknow</t>
  </si>
  <si>
    <t>การเติมคำในช่องว่าง</t>
  </si>
  <si>
    <t>ดู ตาราง Sales</t>
  </si>
  <si>
    <t>==&gt;</t>
  </si>
  <si>
    <t>=INDEX(Table3[#All],MATCH([@[Employee_ID]],Table3[[#All],[Employee_ID]],0),MATCH(Table1[[#Headers],[Employee_Name]],Table3[#Headers],0))</t>
  </si>
  <si>
    <t>ดึงข้อมูลชุด รายชื่อ พนักงาน โดยอิงตาม Employee_ID ของ Sheet Sales Joins กับ Employees</t>
  </si>
  <si>
    <t>=INDEX(Table3[#All],MATCH([@[Employee_ID]],Table3[[#All],[Employee_ID]],0),MATCH(Table1[[#Headers],[Department]],Table3[#Headers],0))</t>
  </si>
  <si>
    <t>ดึงข้อมูลชุด รายชื่อแผนกต่าง ๆ ของแต่ละพนักงาน โดยอิงตาม Employee_ID ของ Sheet Sales Joins กับ Employees</t>
  </si>
  <si>
    <r>
      <t>=VLOOKUP([@[Customer_ID]],Table2[#All],MATCH(Table1[[#Headers],[</t>
    </r>
    <r>
      <rPr>
        <sz val="11"/>
        <color rgb="FF00B0F0"/>
        <rFont val="Calibri"/>
        <family val="2"/>
        <scheme val="minor"/>
      </rPr>
      <t>Customer_Name</t>
    </r>
    <r>
      <rPr>
        <sz val="11"/>
        <color theme="1"/>
        <rFont val="Calibri"/>
        <family val="2"/>
        <scheme val="minor"/>
      </rPr>
      <t>]],Table2[#Headers],0),FALSE)</t>
    </r>
  </si>
  <si>
    <r>
      <t>=VLOOKUP([@[Customer_ID]],Table2[#All],MATCH(Table1[[#Headers],[</t>
    </r>
    <r>
      <rPr>
        <sz val="11"/>
        <color rgb="FF00B0F0"/>
        <rFont val="Calibri"/>
        <family val="2"/>
        <scheme val="minor"/>
      </rPr>
      <t>Customer_Segment</t>
    </r>
    <r>
      <rPr>
        <sz val="11"/>
        <color theme="1"/>
        <rFont val="Calibri"/>
        <family val="2"/>
        <scheme val="minor"/>
      </rPr>
      <t>]],Table2[#Headers],0),FALSE)</t>
    </r>
  </si>
  <si>
    <r>
      <t>=VLOOKUP([@[Customer_ID]],Table2[#All],MATCH(Table1[[#Headers],[</t>
    </r>
    <r>
      <rPr>
        <sz val="11"/>
        <color rgb="FF00B0F0"/>
        <rFont val="Calibri"/>
        <family val="2"/>
        <scheme val="minor"/>
      </rPr>
      <t>Customer_Tier</t>
    </r>
    <r>
      <rPr>
        <sz val="11"/>
        <color theme="1"/>
        <rFont val="Calibri"/>
        <family val="2"/>
        <scheme val="minor"/>
      </rPr>
      <t>]],Table2[#Headers],0),FALSE)</t>
    </r>
  </si>
  <si>
    <t>ดึงข้อมูลชุด รายชื่อสินค้าต่าง ๆ โดยอิงตาม Product_ID ของ Sheet Sales Joins กับ Product</t>
  </si>
  <si>
    <r>
      <t>=INDEX(Product[#All],MATCH([@[Product_ID]],Product[[#All],[Product_ID]],0),MATCH(Sales[[#Headers],[</t>
    </r>
    <r>
      <rPr>
        <sz val="11"/>
        <color rgb="FF00B0F0"/>
        <rFont val="Calibri"/>
        <family val="2"/>
        <scheme val="minor"/>
      </rPr>
      <t>Product_Name</t>
    </r>
    <r>
      <rPr>
        <sz val="11"/>
        <color theme="1"/>
        <rFont val="Calibri"/>
        <family val="2"/>
        <scheme val="minor"/>
      </rPr>
      <t>]],Product[#Headers],0))</t>
    </r>
  </si>
  <si>
    <r>
      <t>=INDEX(Product[#All],MATCH([@[Product_ID]],Product[[#All],[Product_ID]],0),MATCH(Sales[[#Headers],[</t>
    </r>
    <r>
      <rPr>
        <sz val="11"/>
        <color rgb="FF00B0F0"/>
        <rFont val="Calibri"/>
        <family val="2"/>
        <scheme val="minor"/>
      </rPr>
      <t>Category</t>
    </r>
    <r>
      <rPr>
        <sz val="11"/>
        <color theme="1"/>
        <rFont val="Calibri"/>
        <family val="2"/>
        <scheme val="minor"/>
      </rPr>
      <t>]],Product[#Headers],0))</t>
    </r>
  </si>
  <si>
    <r>
      <t>=INDEX(Product[#All],MATCH([@[Product_ID]],Product[[#All],[Product_ID]],0),MATCH(Sales[[#Headers],[</t>
    </r>
    <r>
      <rPr>
        <sz val="11"/>
        <color rgb="FF00B0F0"/>
        <rFont val="Calibri"/>
        <family val="2"/>
        <scheme val="minor"/>
      </rPr>
      <t>Unit_Cost</t>
    </r>
    <r>
      <rPr>
        <sz val="11"/>
        <color theme="1"/>
        <rFont val="Calibri"/>
        <family val="2"/>
        <scheme val="minor"/>
      </rPr>
      <t>]],Product[#Headers],0))</t>
    </r>
  </si>
  <si>
    <r>
      <t>=INDEX(Product[#All],MATCH([@[Product_ID]],Product[[#All],[Product_ID]],0),MATCH(Sales[[#Headers],[</t>
    </r>
    <r>
      <rPr>
        <sz val="11"/>
        <color rgb="FF00B0F0"/>
        <rFont val="Calibri"/>
        <family val="2"/>
        <scheme val="minor"/>
      </rPr>
      <t>List_Price</t>
    </r>
    <r>
      <rPr>
        <sz val="11"/>
        <color theme="1"/>
        <rFont val="Calibri"/>
        <family val="2"/>
        <scheme val="minor"/>
      </rPr>
      <t>]],Product[#Headers],0))</t>
    </r>
  </si>
  <si>
    <t>Net_Sales</t>
  </si>
  <si>
    <t>=[@Quantity]*([@[List_Price]]*(1-[@Discount]))</t>
  </si>
  <si>
    <t>จำนวนสินค้า * (ราคาสินค้าตั้งต้น * (1-ร้อยละของส่วนลด))</t>
  </si>
  <si>
    <t>ผลรวมทั้งหมด</t>
  </si>
  <si>
    <t>ผลรวม</t>
  </si>
  <si>
    <t>ดู ตาราง KPI</t>
  </si>
  <si>
    <t>(ทั้งหมด)</t>
  </si>
  <si>
    <t>Employee</t>
  </si>
  <si>
    <t>Rank_Sales</t>
  </si>
  <si>
    <t>Rank_Profit</t>
  </si>
  <si>
    <t>Rank</t>
  </si>
  <si>
    <t>NetSales</t>
  </si>
  <si>
    <t>ยอดขายกำไรแต่ละคน --&gt; Employees</t>
  </si>
  <si>
    <t>(ถ้าใส่เลขต่อลงมา มันจะแสดงรายการให้อัตโนมัติเลย)</t>
  </si>
  <si>
    <t>Bonus _Amount</t>
  </si>
  <si>
    <t>Review_Note</t>
  </si>
  <si>
    <t>BonusEligable</t>
  </si>
  <si>
    <t>=IF(AND([@[Target_Attainment]]&gt;=0.9,[@[Target_Attainment]]&lt;1),0.05,IF(AND([@[Target_Attainment]]&gt;=1,[@[Target_Attainment]]&lt;1.1),0.1,IF(AND([@[Target_Attainment]]&gt;=1.1,[@[Target_Attainment]]&lt;1.2),0.15,IF([@[Target_Attainment]]&gt;=1.2,0.2,0))))</t>
  </si>
  <si>
    <t>=IF(AND([@[Target_Attainment]]&gt;=0.9,[@[Target_Attainment]]&lt;1),"Near Target",IF(AND([@[Target_Attainment]]&gt;=1,[@[Target_Attainment]]&lt;1.1),"Meets Target",IF(AND([@[Target_Attainment]]&gt;=1.1,[@[Target_Attainment]]&lt;1.2),"Exceeds Target",IF([@[Target_Attainment]]&gt;=1.2,"Outstanding","Below Target"))))</t>
  </si>
  <si>
    <t>จัดเกณฑ์คะแนน เพื่อกำหนด Performance Band หรือ Review_Note</t>
  </si>
  <si>
    <t>จัดเกณฑ์คะแนน เพื่อกำหนด Bonus % ตามเกณฑ์ที่กำหนด</t>
  </si>
  <si>
    <t>(ชื่อ)</t>
  </si>
  <si>
    <t>=AVERAGEIF(Performance[Department],[@Department],Performance[Overall_Score])</t>
  </si>
  <si>
    <t>หาค่าเฉลี่ยของคะแนนวัด (KPI) พนักงานทั้งหมดของแต่ละแผนกต่าง ๆ</t>
  </si>
  <si>
    <t>สุกี้</t>
  </si>
  <si>
    <t>หา Employee ที่ Overall Score ≥ 85 และ Target Attainment ≥ 100%</t>
  </si>
  <si>
    <t>Count:</t>
  </si>
  <si>
    <t>gap</t>
  </si>
  <si>
    <t>คือคนที่มีคะแนนดีที่สุด</t>
  </si>
  <si>
    <t>=</t>
  </si>
  <si>
    <t>คนที่มีคะแนนโดยรวมดีที่สุด</t>
  </si>
  <si>
    <t>: Gold</t>
  </si>
  <si>
    <t>Product</t>
  </si>
  <si>
    <t>Net_Profit</t>
  </si>
  <si>
    <t>CountUnit</t>
  </si>
  <si>
    <t>Net_Cost</t>
  </si>
  <si>
    <t>=MIN()</t>
  </si>
  <si>
    <t>: Laptop Pro 14</t>
  </si>
  <si>
    <t>Jan</t>
  </si>
  <si>
    <t>Feb</t>
  </si>
  <si>
    <t>Mar</t>
  </si>
  <si>
    <t>Apr</t>
  </si>
  <si>
    <t>May</t>
  </si>
  <si>
    <t>Jun</t>
  </si>
  <si>
    <t>Year</t>
  </si>
  <si>
    <t>MonthNo.</t>
  </si>
  <si>
    <t>Month*</t>
  </si>
  <si>
    <t>January</t>
  </si>
  <si>
    <t>February</t>
  </si>
  <si>
    <t>March</t>
  </si>
  <si>
    <t>April</t>
  </si>
  <si>
    <t>June</t>
  </si>
  <si>
    <t>ป้ายชื่อแถว</t>
  </si>
  <si>
    <t>ผลรวม ของ Profit</t>
  </si>
  <si>
    <t>ผลรวม ของ Sales_Amount</t>
  </si>
  <si>
    <t>ผลรวม ของ Cost_Amount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</si>
</sst>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BACC6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0000"/>
      <name val="Tahoma"/>
      <family val="2"/>
    </font>
    <font>
      <sz val="14"/>
      <color rgb="FF000000"/>
      <name val="Calibri"/>
      <family val="2"/>
      <scheme val="minor"/>
    </font>
    <font>
      <sz val="11"/>
      <color theme="1"/>
      <name val="Cambria"/>
      <family val="1"/>
      <scheme val="major"/>
    </font>
    <font>
      <u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610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213D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B9BD5"/>
        <bgColor indexed="64"/>
      </patternFill>
    </fill>
  </fills>
  <borders count="2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0" fillId="18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6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/>
    <xf numFmtId="0" fontId="4" fillId="4" borderId="1" xfId="0" applyFont="1" applyFill="1" applyBorder="1"/>
    <xf numFmtId="164" fontId="0" fillId="0" borderId="1" xfId="0" applyNumberFormat="1" applyBorder="1"/>
    <xf numFmtId="4" fontId="0" fillId="0" borderId="1" xfId="0" applyNumberFormat="1" applyBorder="1"/>
    <xf numFmtId="0" fontId="3" fillId="3" borderId="0" xfId="0" applyFont="1" applyFill="1"/>
    <xf numFmtId="0" fontId="0" fillId="0" borderId="0" xfId="0" applyAlignment="1">
      <alignment vertical="top" wrapText="1"/>
    </xf>
    <xf numFmtId="0" fontId="4" fillId="4" borderId="0" xfId="0" applyFont="1" applyFill="1"/>
    <xf numFmtId="4" fontId="0" fillId="0" borderId="0" xfId="0" applyNumberFormat="1"/>
    <xf numFmtId="0" fontId="4" fillId="4" borderId="0" xfId="0" applyFont="1" applyFill="1" applyAlignment="1">
      <alignment vertical="top" wrapText="1"/>
    </xf>
    <xf numFmtId="0" fontId="0" fillId="0" borderId="0" xfId="0" applyAlignment="1"/>
    <xf numFmtId="0" fontId="0" fillId="0" borderId="0" xfId="0" applyBorder="1" applyAlignment="1"/>
    <xf numFmtId="0" fontId="0" fillId="0" borderId="0" xfId="0" applyFill="1"/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4" fontId="0" fillId="0" borderId="8" xfId="0" applyNumberFormat="1" applyBorder="1"/>
    <xf numFmtId="0" fontId="0" fillId="0" borderId="9" xfId="0" applyBorder="1"/>
    <xf numFmtId="0" fontId="4" fillId="6" borderId="5" xfId="0" applyFont="1" applyFill="1" applyBorder="1"/>
    <xf numFmtId="0" fontId="0" fillId="0" borderId="0" xfId="0" applyBorder="1"/>
    <xf numFmtId="43" fontId="0" fillId="0" borderId="1" xfId="1" applyFont="1" applyBorder="1"/>
    <xf numFmtId="43" fontId="0" fillId="0" borderId="8" xfId="1" applyFont="1" applyBorder="1"/>
    <xf numFmtId="165" fontId="0" fillId="0" borderId="1" xfId="1" applyNumberFormat="1" applyFont="1" applyBorder="1"/>
    <xf numFmtId="165" fontId="0" fillId="0" borderId="8" xfId="1" applyNumberFormat="1" applyFont="1" applyBorder="1"/>
    <xf numFmtId="43" fontId="0" fillId="0" borderId="1" xfId="1" applyNumberFormat="1" applyFont="1" applyBorder="1"/>
    <xf numFmtId="43" fontId="0" fillId="0" borderId="8" xfId="1" applyNumberFormat="1" applyFont="1" applyBorder="1"/>
    <xf numFmtId="0" fontId="13" fillId="0" borderId="0" xfId="0" applyFont="1"/>
    <xf numFmtId="0" fontId="0" fillId="0" borderId="12" xfId="0" applyBorder="1" applyAlignment="1"/>
    <xf numFmtId="0" fontId="0" fillId="0" borderId="12" xfId="0" applyBorder="1"/>
    <xf numFmtId="0" fontId="6" fillId="0" borderId="0" xfId="3"/>
    <xf numFmtId="0" fontId="10" fillId="0" borderId="0" xfId="0" quotePrefix="1" applyFont="1"/>
    <xf numFmtId="2" fontId="0" fillId="0" borderId="1" xfId="2" applyNumberFormat="1" applyFont="1" applyBorder="1"/>
    <xf numFmtId="2" fontId="0" fillId="0" borderId="8" xfId="2" applyNumberFormat="1" applyFont="1" applyBorder="1"/>
    <xf numFmtId="0" fontId="14" fillId="0" borderId="0" xfId="0" applyFont="1"/>
    <xf numFmtId="0" fontId="15" fillId="0" borderId="0" xfId="3" applyFont="1"/>
    <xf numFmtId="0" fontId="16" fillId="0" borderId="0" xfId="0" applyFont="1"/>
    <xf numFmtId="0" fontId="4" fillId="6" borderId="4" xfId="0" applyFont="1" applyFill="1" applyBorder="1"/>
    <xf numFmtId="0" fontId="4" fillId="10" borderId="4" xfId="0" applyFont="1" applyFill="1" applyBorder="1"/>
    <xf numFmtId="0" fontId="4" fillId="10" borderId="5" xfId="0" applyFont="1" applyFill="1" applyBorder="1"/>
    <xf numFmtId="0" fontId="0" fillId="0" borderId="0" xfId="0" applyNumberFormat="1"/>
    <xf numFmtId="0" fontId="4" fillId="8" borderId="4" xfId="0" applyFont="1" applyFill="1" applyBorder="1"/>
    <xf numFmtId="0" fontId="4" fillId="8" borderId="5" xfId="0" applyFont="1" applyFill="1" applyBorder="1"/>
    <xf numFmtId="0" fontId="4" fillId="11" borderId="5" xfId="0" applyFont="1" applyFill="1" applyBorder="1"/>
    <xf numFmtId="0" fontId="4" fillId="11" borderId="6" xfId="0" applyFont="1" applyFill="1" applyBorder="1"/>
    <xf numFmtId="0" fontId="4" fillId="8" borderId="5" xfId="0" applyFont="1" applyFill="1" applyBorder="1" applyAlignment="1">
      <alignment wrapText="1"/>
    </xf>
    <xf numFmtId="0" fontId="4" fillId="8" borderId="6" xfId="0" applyFont="1" applyFill="1" applyBorder="1" applyAlignment="1">
      <alignment wrapText="1"/>
    </xf>
    <xf numFmtId="43" fontId="0" fillId="0" borderId="3" xfId="1" applyFont="1" applyBorder="1"/>
    <xf numFmtId="165" fontId="0" fillId="0" borderId="3" xfId="1" applyNumberFormat="1" applyFont="1" applyBorder="1"/>
    <xf numFmtId="165" fontId="0" fillId="0" borderId="9" xfId="1" applyNumberFormat="1" applyFont="1" applyBorder="1"/>
    <xf numFmtId="4" fontId="0" fillId="0" borderId="3" xfId="0" applyNumberFormat="1" applyBorder="1"/>
    <xf numFmtId="4" fontId="0" fillId="0" borderId="9" xfId="0" applyNumberFormat="1" applyBorder="1"/>
    <xf numFmtId="0" fontId="4" fillId="12" borderId="4" xfId="0" applyFont="1" applyFill="1" applyBorder="1"/>
    <xf numFmtId="0" fontId="4" fillId="12" borderId="5" xfId="0" applyFont="1" applyFill="1" applyBorder="1"/>
    <xf numFmtId="0" fontId="4" fillId="13" borderId="4" xfId="0" applyFont="1" applyFill="1" applyBorder="1"/>
    <xf numFmtId="0" fontId="4" fillId="13" borderId="5" xfId="0" applyFont="1" applyFill="1" applyBorder="1"/>
    <xf numFmtId="0" fontId="4" fillId="13" borderId="6" xfId="0" applyFont="1" applyFill="1" applyBorder="1"/>
    <xf numFmtId="0" fontId="0" fillId="0" borderId="3" xfId="0" applyBorder="1" applyAlignment="1">
      <alignment horizontal="right"/>
    </xf>
    <xf numFmtId="0" fontId="0" fillId="0" borderId="9" xfId="0" applyBorder="1" applyAlignment="1">
      <alignment horizontal="right"/>
    </xf>
    <xf numFmtId="0" fontId="9" fillId="0" borderId="0" xfId="4" applyAlignment="1"/>
    <xf numFmtId="0" fontId="0" fillId="0" borderId="0" xfId="0" quotePrefix="1" applyAlignment="1"/>
    <xf numFmtId="0" fontId="8" fillId="7" borderId="5" xfId="0" applyFont="1" applyFill="1" applyBorder="1"/>
    <xf numFmtId="0" fontId="0" fillId="0" borderId="0" xfId="0" quotePrefix="1"/>
    <xf numFmtId="0" fontId="6" fillId="0" borderId="0" xfId="3" applyAlignment="1"/>
    <xf numFmtId="0" fontId="7" fillId="0" borderId="0" xfId="0" applyFont="1" applyAlignment="1"/>
    <xf numFmtId="0" fontId="4" fillId="5" borderId="1" xfId="0" applyFont="1" applyFill="1" applyBorder="1"/>
    <xf numFmtId="0" fontId="4" fillId="5" borderId="5" xfId="0" applyFont="1" applyFill="1" applyBorder="1"/>
    <xf numFmtId="0" fontId="4" fillId="15" borderId="5" xfId="0" applyFont="1" applyFill="1" applyBorder="1"/>
    <xf numFmtId="165" fontId="0" fillId="0" borderId="0" xfId="1" applyNumberFormat="1" applyFont="1"/>
    <xf numFmtId="0" fontId="4" fillId="16" borderId="5" xfId="0" applyFont="1" applyFill="1" applyBorder="1"/>
    <xf numFmtId="43" fontId="0" fillId="0" borderId="0" xfId="1" applyNumberFormat="1" applyFont="1"/>
    <xf numFmtId="0" fontId="0" fillId="0" borderId="0" xfId="0" applyFill="1" applyBorder="1"/>
    <xf numFmtId="164" fontId="0" fillId="0" borderId="0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8" fillId="0" borderId="5" xfId="0" applyFont="1" applyFill="1" applyBorder="1"/>
    <xf numFmtId="0" fontId="8" fillId="0" borderId="6" xfId="0" applyFont="1" applyFill="1" applyBorder="1"/>
    <xf numFmtId="0" fontId="8" fillId="0" borderId="1" xfId="0" applyFont="1" applyFill="1" applyBorder="1"/>
    <xf numFmtId="0" fontId="0" fillId="0" borderId="0" xfId="0" applyFont="1" applyFill="1"/>
    <xf numFmtId="0" fontId="0" fillId="0" borderId="1" xfId="0" applyBorder="1" applyAlignment="1">
      <alignment horizontal="left"/>
    </xf>
    <xf numFmtId="0" fontId="4" fillId="6" borderId="11" xfId="0" applyFont="1" applyFill="1" applyBorder="1"/>
    <xf numFmtId="165" fontId="0" fillId="0" borderId="1" xfId="1" applyNumberFormat="1" applyFont="1" applyBorder="1" applyAlignment="1">
      <alignment horizontal="left"/>
    </xf>
    <xf numFmtId="10" fontId="0" fillId="0" borderId="1" xfId="2" applyNumberFormat="1" applyFont="1" applyBorder="1" applyAlignment="1">
      <alignment horizontal="right"/>
    </xf>
    <xf numFmtId="0" fontId="0" fillId="7" borderId="0" xfId="0" applyFill="1" applyAlignment="1">
      <alignment horizontal="left"/>
    </xf>
    <xf numFmtId="165" fontId="0" fillId="7" borderId="10" xfId="1" applyNumberFormat="1" applyFont="1" applyFill="1" applyBorder="1" applyAlignment="1">
      <alignment horizontal="right"/>
    </xf>
    <xf numFmtId="10" fontId="0" fillId="7" borderId="10" xfId="0" applyNumberFormat="1" applyFill="1" applyBorder="1" applyAlignment="1">
      <alignment horizontal="right"/>
    </xf>
    <xf numFmtId="0" fontId="0" fillId="0" borderId="2" xfId="0" applyBorder="1" applyAlignment="1">
      <alignment horizontal="left"/>
    </xf>
    <xf numFmtId="164" fontId="0" fillId="0" borderId="3" xfId="0" applyNumberFormat="1" applyBorder="1"/>
    <xf numFmtId="0" fontId="0" fillId="0" borderId="7" xfId="0" applyBorder="1" applyAlignment="1">
      <alignment horizontal="left"/>
    </xf>
    <xf numFmtId="164" fontId="0" fillId="0" borderId="9" xfId="0" applyNumberFormat="1" applyBorder="1"/>
    <xf numFmtId="0" fontId="8" fillId="14" borderId="6" xfId="0" applyFont="1" applyFill="1" applyBorder="1"/>
    <xf numFmtId="0" fontId="7" fillId="14" borderId="2" xfId="0" applyFont="1" applyFill="1" applyBorder="1"/>
    <xf numFmtId="0" fontId="0" fillId="0" borderId="1" xfId="0" applyNumberFormat="1" applyBorder="1"/>
    <xf numFmtId="0" fontId="6" fillId="0" borderId="2" xfId="3" applyBorder="1"/>
    <xf numFmtId="0" fontId="7" fillId="17" borderId="2" xfId="0" applyFont="1" applyFill="1" applyBorder="1"/>
    <xf numFmtId="0" fontId="8" fillId="17" borderId="6" xfId="0" applyFont="1" applyFill="1" applyBorder="1"/>
    <xf numFmtId="2" fontId="7" fillId="17" borderId="2" xfId="2" applyNumberFormat="1" applyFont="1" applyFill="1" applyBorder="1"/>
    <xf numFmtId="4" fontId="0" fillId="0" borderId="2" xfId="0" applyNumberFormat="1" applyBorder="1" applyAlignment="1">
      <alignment horizontal="left"/>
    </xf>
    <xf numFmtId="0" fontId="7" fillId="14" borderId="2" xfId="0" applyFont="1" applyFill="1" applyBorder="1" applyAlignment="1">
      <alignment wrapText="1"/>
    </xf>
    <xf numFmtId="0" fontId="7" fillId="17" borderId="2" xfId="0" applyFont="1" applyFill="1" applyBorder="1" applyAlignment="1">
      <alignment wrapText="1"/>
    </xf>
    <xf numFmtId="3" fontId="0" fillId="0" borderId="1" xfId="0" applyNumberFormat="1" applyBorder="1"/>
    <xf numFmtId="3" fontId="0" fillId="0" borderId="8" xfId="0" applyNumberFormat="1" applyBorder="1"/>
    <xf numFmtId="4" fontId="0" fillId="0" borderId="5" xfId="0" applyNumberFormat="1" applyBorder="1"/>
    <xf numFmtId="0" fontId="6" fillId="0" borderId="0" xfId="3" applyBorder="1"/>
    <xf numFmtId="43" fontId="0" fillId="0" borderId="5" xfId="1" applyNumberFormat="1" applyFont="1" applyBorder="1"/>
    <xf numFmtId="0" fontId="4" fillId="6" borderId="6" xfId="0" applyFont="1" applyFill="1" applyBorder="1"/>
    <xf numFmtId="0" fontId="7" fillId="9" borderId="0" xfId="0" applyFont="1" applyFill="1" applyAlignment="1">
      <alignment horizontal="left"/>
    </xf>
    <xf numFmtId="4" fontId="7" fillId="9" borderId="2" xfId="0" applyNumberFormat="1" applyFont="1" applyFill="1" applyBorder="1" applyAlignment="1">
      <alignment horizontal="left"/>
    </xf>
    <xf numFmtId="0" fontId="7" fillId="9" borderId="1" xfId="0" applyFont="1" applyFill="1" applyBorder="1" applyAlignment="1">
      <alignment horizontal="left"/>
    </xf>
    <xf numFmtId="0" fontId="18" fillId="5" borderId="4" xfId="0" applyFont="1" applyFill="1" applyBorder="1"/>
    <xf numFmtId="0" fontId="19" fillId="5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8" xfId="0" applyNumberFormat="1" applyBorder="1"/>
    <xf numFmtId="2" fontId="0" fillId="0" borderId="9" xfId="0" applyNumberFormat="1" applyBorder="1"/>
    <xf numFmtId="2" fontId="0" fillId="0" borderId="3" xfId="0" applyNumberFormat="1" applyBorder="1"/>
    <xf numFmtId="0" fontId="18" fillId="5" borderId="11" xfId="0" applyFont="1" applyFill="1" applyBorder="1" applyAlignment="1"/>
    <xf numFmtId="2" fontId="0" fillId="0" borderId="0" xfId="0" applyNumberFormat="1" applyAlignment="1"/>
    <xf numFmtId="0" fontId="0" fillId="0" borderId="0" xfId="0" quotePrefix="1" applyAlignment="1">
      <alignment horizontal="center"/>
    </xf>
    <xf numFmtId="0" fontId="20" fillId="18" borderId="2" xfId="5" applyBorder="1"/>
    <xf numFmtId="0" fontId="20" fillId="18" borderId="8" xfId="5" applyNumberFormat="1" applyBorder="1"/>
    <xf numFmtId="2" fontId="20" fillId="18" borderId="3" xfId="5" applyNumberFormat="1" applyBorder="1"/>
    <xf numFmtId="2" fontId="20" fillId="18" borderId="0" xfId="5" applyNumberFormat="1" applyAlignment="1"/>
    <xf numFmtId="0" fontId="18" fillId="0" borderId="11" xfId="0" applyFont="1" applyFill="1" applyBorder="1" applyAlignment="1"/>
    <xf numFmtId="0" fontId="7" fillId="0" borderId="2" xfId="5" applyFont="1" applyFill="1" applyBorder="1"/>
    <xf numFmtId="0" fontId="16" fillId="0" borderId="0" xfId="6" applyFont="1" applyAlignment="1"/>
    <xf numFmtId="0" fontId="16" fillId="0" borderId="12" xfId="0" applyFont="1" applyBorder="1" applyAlignment="1"/>
    <xf numFmtId="0" fontId="16" fillId="0" borderId="12" xfId="0" applyFont="1" applyBorder="1"/>
    <xf numFmtId="0" fontId="19" fillId="15" borderId="0" xfId="0" applyFont="1" applyFill="1" applyAlignment="1">
      <alignment horizontal="center" vertical="center"/>
    </xf>
    <xf numFmtId="0" fontId="4" fillId="10" borderId="11" xfId="0" applyFont="1" applyFill="1" applyBorder="1" applyAlignment="1"/>
    <xf numFmtId="165" fontId="0" fillId="0" borderId="0" xfId="1" applyNumberFormat="1" applyFont="1" applyAlignment="1"/>
    <xf numFmtId="165" fontId="0" fillId="0" borderId="0" xfId="0" applyNumberFormat="1" applyAlignment="1"/>
    <xf numFmtId="0" fontId="7" fillId="19" borderId="0" xfId="0" applyFont="1" applyFill="1"/>
    <xf numFmtId="165" fontId="7" fillId="19" borderId="0" xfId="1" applyNumberFormat="1" applyFont="1" applyFill="1" applyAlignment="1"/>
    <xf numFmtId="165" fontId="7" fillId="19" borderId="0" xfId="0" applyNumberFormat="1" applyFont="1" applyFill="1" applyAlignmen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17" borderId="0" xfId="0" applyFill="1"/>
    <xf numFmtId="0" fontId="0" fillId="17" borderId="0" xfId="0" applyFill="1" applyAlignment="1"/>
    <xf numFmtId="0" fontId="4" fillId="20" borderId="5" xfId="0" applyFont="1" applyFill="1" applyBorder="1"/>
    <xf numFmtId="165" fontId="0" fillId="0" borderId="0" xfId="1" applyNumberFormat="1" applyFont="1" applyBorder="1"/>
    <xf numFmtId="0" fontId="0" fillId="0" borderId="0" xfId="0" applyNumberFormat="1" applyAlignment="1"/>
    <xf numFmtId="0" fontId="18" fillId="12" borderId="0" xfId="0" applyFont="1" applyFill="1"/>
    <xf numFmtId="0" fontId="18" fillId="12" borderId="0" xfId="0" applyFont="1" applyFill="1" applyAlignment="1"/>
    <xf numFmtId="165" fontId="0" fillId="0" borderId="0" xfId="0" applyNumberFormat="1"/>
    <xf numFmtId="0" fontId="9" fillId="0" borderId="0" xfId="4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9" fillId="0" borderId="0" xfId="4" applyAlignment="1">
      <alignment horizontal="left" wrapText="1"/>
    </xf>
  </cellXfs>
  <cellStyles count="7">
    <cellStyle name="Followed Hyperlink" xfId="6" builtinId="9"/>
    <cellStyle name="Hyperlink" xfId="4" builtinId="8"/>
    <cellStyle name="เครื่องหมายจุลภาค" xfId="1" builtinId="3"/>
    <cellStyle name="เปอร์เซ็นต์" xfId="2" builtinId="5"/>
    <cellStyle name="ข้อความอธิบาย" xfId="3" builtinId="53"/>
    <cellStyle name="ดี" xfId="5" builtinId="26"/>
    <cellStyle name="ปกติ" xfId="0" builtinId="0"/>
  </cellStyles>
  <dxfs count="215"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B9BD5"/>
        </patternFill>
      </fill>
    </dxf>
    <dxf>
      <numFmt numFmtId="4" formatCode="#,##0.00"/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164" formatCode="yyyy\-mm\-dd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B9BD5"/>
        </patternFill>
      </fill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numFmt numFmtId="2" formatCode="0.00"/>
      <border diagonalUp="0" diagonalDown="0" outline="0">
        <left style="thin">
          <color rgb="FFD9E1F2"/>
        </left>
        <right/>
        <top style="thin">
          <color rgb="FFD9E1F2"/>
        </top>
        <bottom/>
      </border>
    </dxf>
    <dxf>
      <numFmt numFmtId="0" formatCode="General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/>
      </border>
    </dxf>
    <dxf>
      <border diagonalUp="0" diagonalDown="0" outline="0">
        <left/>
        <right style="thin">
          <color rgb="FFD9E1F2"/>
        </right>
        <top style="thin">
          <color rgb="FFD9E1F2"/>
        </top>
        <bottom/>
      </border>
    </dxf>
    <dxf>
      <border outline="0">
        <top style="thin">
          <color rgb="FFD9E1F2"/>
        </top>
      </border>
    </dxf>
    <dxf>
      <border outline="0"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</font>
      <fill>
        <patternFill>
          <fgColor indexed="64"/>
          <bgColor theme="3" tint="0.3999755851924192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7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0" formatCode="General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164" formatCode="yyyy\-mm\-dd"/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</font>
      <fill>
        <patternFill patternType="solid">
          <fgColor indexed="64"/>
          <bgColor theme="9" tint="0.39997558519241921"/>
        </patternFill>
      </fill>
    </dxf>
    <dxf>
      <numFmt numFmtId="35" formatCode="_(* #,##0.00_);_(* \(#,##0.00\);_(* &quot;-&quot;??_);_(@_)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164" formatCode="yyyy\-mm\-dd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164" formatCode="yyyy\-mm\-dd"/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</font>
      <fill>
        <patternFill patternType="solid">
          <fgColor indexed="64"/>
          <bgColor theme="4" tint="0.59999389629810485"/>
        </patternFill>
      </fill>
    </dxf>
    <dxf>
      <numFmt numFmtId="14" formatCode="0.00%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D9E1F2"/>
        </left>
        <right/>
        <top/>
        <bottom/>
      </border>
    </dxf>
    <dxf>
      <numFmt numFmtId="14" formatCode="0.00%"/>
      <alignment horizontal="right" vertical="bottom" textRotation="0" wrapText="0" indent="0" justifyLastLine="0" shrinkToFit="0" readingOrder="0"/>
      <border outline="0">
        <left style="thin">
          <color rgb="FFD9E1F2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D9E1F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D9E1F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D9E1F2"/>
        </left>
        <right/>
        <top/>
        <bottom/>
      </border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border outline="0">
        <right style="thin">
          <color rgb="FFD9E1F2"/>
        </right>
        <top style="thin">
          <color rgb="FFD9E1F2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7" tint="-0.249977111117893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6" tint="-0.249977111117893"/>
        </patternFill>
      </fill>
    </dxf>
    <dxf>
      <numFmt numFmtId="2" formatCode="0.00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border diagonalUp="0" diagonalDown="0" outline="0">
        <left style="thin">
          <color rgb="FFD9E1F2"/>
        </left>
        <right/>
        <top style="thin">
          <color rgb="FFD9E1F2"/>
        </top>
        <bottom style="thin">
          <color rgb="FFD9E1F2"/>
        </bottom>
      </border>
    </dxf>
    <dxf>
      <fill>
        <patternFill patternType="solid">
          <fgColor indexed="64"/>
          <bgColor theme="9" tint="0.39997558519241921"/>
        </patternFill>
      </fill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border outline="0"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7"/>
        </patternFill>
      </fill>
    </dxf>
    <dxf>
      <numFmt numFmtId="2" formatCode="0.00"/>
      <alignment horizontal="general" vertical="bottom" textRotation="0" wrapText="0" indent="0" justifyLastLine="0" shrinkToFit="0" readingOrder="0"/>
    </dxf>
    <dxf>
      <numFmt numFmtId="2" formatCode="0.00"/>
      <border diagonalUp="0" diagonalDown="0" outline="0">
        <left style="thin">
          <color rgb="FFD9E1F2"/>
        </left>
        <right/>
        <top style="thin">
          <color rgb="FFD9E1F2"/>
        </top>
        <bottom/>
      </border>
    </dxf>
    <dxf>
      <numFmt numFmtId="0" formatCode="General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/>
      </border>
    </dxf>
    <dxf>
      <border diagonalUp="0" diagonalDown="0" outline="0">
        <left/>
        <right style="thin">
          <color rgb="FFD9E1F2"/>
        </right>
        <top style="thin">
          <color rgb="FFD9E1F2"/>
        </top>
        <bottom/>
      </border>
    </dxf>
    <dxf>
      <border outline="0">
        <top style="thin">
          <color rgb="FFD9E1F2"/>
        </top>
      </border>
    </dxf>
    <dxf>
      <border outline="0"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</font>
      <fill>
        <patternFill>
          <fgColor indexed="64"/>
          <bgColor theme="3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0" formatCode="General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164" formatCode="yyyy\-mm\-dd"/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</font>
      <fill>
        <patternFill patternType="solid">
          <fgColor indexed="64"/>
          <bgColor theme="9" tint="0.39997558519241921"/>
        </patternFill>
      </fill>
    </dxf>
    <dxf>
      <numFmt numFmtId="35" formatCode="_(* #,##0.00_);_(* \(#,##0.00\);_(* &quot;-&quot;??_);_(@_)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164" formatCode="yyyy\-mm\-dd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164" formatCode="yyyy\-mm\-dd"/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</font>
      <fill>
        <patternFill patternType="solid">
          <fgColor indexed="64"/>
          <bgColor theme="4" tint="0.59999389629810485"/>
        </patternFill>
      </fill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3" formatCode="#,##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165" formatCode="_(* #,##0_);_(* \(#,##0\);_(* &quot;-&quot;??_);_(@_)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165" formatCode="_(* #,##0_);_(* \(#,##0\);_(* &quot;-&quot;??_);_(@_)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6" tint="-0.249977111117893"/>
        </patternFill>
      </fill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rgb="FFD9E1F2"/>
        </left>
        <right/>
        <top style="thin">
          <color rgb="FFD9E1F2"/>
        </top>
        <bottom style="thin">
          <color rgb="FFD9E1F2"/>
        </bottom>
      </border>
    </dxf>
    <dxf>
      <numFmt numFmtId="4" formatCode="#,##0.0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D213D7"/>
        </patternFill>
      </fill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numFmt numFmtId="2" formatCode="0.00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</dxf>
    <dxf>
      <numFmt numFmtId="165" formatCode="_(* #,##0_);_(* \(#,##0\);_(* &quot;-&quot;??_);_(@_)"/>
      <border diagonalUp="0" diagonalDown="0" outline="0">
        <left style="thin">
          <color rgb="FFD9E1F2"/>
        </left>
        <right/>
        <top style="thin">
          <color rgb="FFD9E1F2"/>
        </top>
        <bottom style="thin">
          <color rgb="FFD9E1F2"/>
        </bottom>
      </border>
    </dxf>
    <dxf>
      <numFmt numFmtId="165" formatCode="_(* #,##0_);_(* \(#,##0\);_(* &quot;-&quot;??_);_(@_)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B9BD5"/>
        </patternFill>
      </fill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left style="thin">
          <color rgb="FFD9E1F2"/>
        </left>
        <top style="thin">
          <color rgb="FFD9E1F2"/>
        </top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7"/>
        </patternFill>
      </fill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  <border diagonalUp="0" diagonalDown="0" outline="0">
        <left style="thin">
          <color rgb="FFD9E1F2"/>
        </left>
        <right/>
        <top style="thin">
          <color rgb="FFD9E1F2"/>
        </top>
        <bottom style="thin">
          <color rgb="FFD9E1F2"/>
        </bottom>
      </border>
    </dxf>
    <dxf>
      <numFmt numFmtId="165" formatCode="_(* #,##0_);_(* \(#,##0\);_(* &quot;-&quot;??_);_(@_)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1" tint="0.499984740745262"/>
        </patternFill>
      </fill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numFmt numFmtId="2" formatCode="0.00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rgb="FFD9E1F2"/>
        </left>
        <right/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4" formatCode="#,##0.0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35" formatCode="_(* #,##0.00_);_(* \(#,##0.00\);_(* &quot;-&quot;??_);_(@_)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4" formatCode="#,##0.0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2" formatCode="0.0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4" formatCode="#,##0.0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0" formatCode="General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0" formatCode="General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numFmt numFmtId="164" formatCode="yyyy\-mm\-dd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diagonalUp="0" diagonalDown="0">
        <left/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border outline="0">
        <top style="thin">
          <color rgb="FFD9E1F2"/>
        </top>
      </border>
    </dxf>
    <dxf>
      <border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B9BD5"/>
        </patternFill>
      </fill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</dxfs>
  <tableStyles count="0" defaultTableStyle="TableStyleMedium9" defaultPivotStyle="PivotStyleLight16"/>
  <colors>
    <mruColors>
      <color rgb="FFD213D7"/>
      <color rgb="FFE61EEB"/>
      <color rgb="FFE81CDE"/>
      <color rgb="FFB818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Worksheet!$F$246:$F$251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Worksheet!$G$246:$G$251</c:f>
              <c:numCache>
                <c:formatCode>_(* #,##0_);_(* \(#,##0\);_(* "-"??_);_(@_)</c:formatCode>
                <c:ptCount val="6"/>
                <c:pt idx="0">
                  <c:v>2194288</c:v>
                </c:pt>
                <c:pt idx="1">
                  <c:v>3068237</c:v>
                </c:pt>
                <c:pt idx="2">
                  <c:v>2481639</c:v>
                </c:pt>
                <c:pt idx="3">
                  <c:v>3716812</c:v>
                </c:pt>
                <c:pt idx="4">
                  <c:v>3918825</c:v>
                </c:pt>
                <c:pt idx="5">
                  <c:v>2669638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9223072"/>
        <c:axId val="-2129232864"/>
      </c:lineChart>
      <c:catAx>
        <c:axId val="-212922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9232864"/>
        <c:crosses val="autoZero"/>
        <c:auto val="1"/>
        <c:lblAlgn val="ctr"/>
        <c:lblOffset val="100"/>
        <c:noMultiLvlLbl val="0"/>
      </c:catAx>
      <c:valAx>
        <c:axId val="-21292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922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Worksheet!$F$246:$F$251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Worksheet!$G$246:$G$251</c:f>
              <c:numCache>
                <c:formatCode>_(* #,##0_);_(* \(#,##0\);_(* "-"??_);_(@_)</c:formatCode>
                <c:ptCount val="6"/>
                <c:pt idx="0">
                  <c:v>2194288</c:v>
                </c:pt>
                <c:pt idx="1">
                  <c:v>3068237</c:v>
                </c:pt>
                <c:pt idx="2">
                  <c:v>2481639</c:v>
                </c:pt>
                <c:pt idx="3">
                  <c:v>3716812</c:v>
                </c:pt>
                <c:pt idx="4">
                  <c:v>3918825</c:v>
                </c:pt>
                <c:pt idx="5">
                  <c:v>2669638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4"/>
        <c:axId val="-2129225248"/>
        <c:axId val="-2129223616"/>
      </c:barChart>
      <c:catAx>
        <c:axId val="-2129225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9223616"/>
        <c:crosses val="autoZero"/>
        <c:auto val="1"/>
        <c:lblAlgn val="ctr"/>
        <c:lblOffset val="100"/>
        <c:noMultiLvlLbl val="0"/>
      </c:catAx>
      <c:valAx>
        <c:axId val="-212922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922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58996559693"/>
          <c:y val="0.19605705481716984"/>
          <c:w val="0.48999592182451296"/>
          <c:h val="0.69485400426176169"/>
        </c:manualLayout>
      </c:layout>
      <c:pieChart>
        <c:varyColors val="1"/>
        <c:ser>
          <c:idx val="0"/>
          <c:order val="0"/>
          <c:tx>
            <c:strRef>
              <c:f>Workspace!$D$1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9.2961487383798141E-2"/>
                  <c:y val="1.5065935711754247E-2"/>
                </c:manualLayout>
              </c:layout>
              <c:tx>
                <c:rich>
                  <a:bodyPr/>
                  <a:lstStyle/>
                  <a:p>
                    <a:fld id="{2E5CDFF2-CD44-45CF-ABD0-D62868DC4320}" type="CATEGORYNAME">
                      <a:rPr lang="en-US"/>
                      <a:pPr/>
                      <a:t>[ชื่อประเภท]</a:t>
                    </a:fld>
                    <a:r>
                      <a:rPr lang="en-US"/>
                      <a:t> </a:t>
                    </a:r>
                    <a:fld id="{67A9095A-B07C-4553-8997-89E5FB6884AC}" type="PERCENTAGE">
                      <a:rPr lang="en-US" baseline="0"/>
                      <a:pPr/>
                      <a:t>[เปอร์เซ็นต์]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507795589296357"/>
                      <c:h val="9.4967591926675157E-2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1"/>
              <c:layout>
                <c:manualLayout>
                  <c:x val="4.2496679946879147E-2"/>
                  <c:y val="4.1431323207324143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3DB4A58-8137-451D-8405-B5EDA8B758F4}" type="CATEGORYNAME">
                      <a:rPr lang="en-US"/>
                      <a:pPr>
                        <a:defRPr/>
                      </a:pPr>
                      <a:t>[ชื่อประเภท]</a:t>
                    </a:fld>
                    <a:r>
                      <a:rPr lang="en-US"/>
                      <a:t> </a:t>
                    </a:r>
                    <a:fld id="{CE83C2D2-2379-4B96-8A8D-1A5C4EB8DD2A}" type="PERCENTAGE">
                      <a:rPr lang="en-US" baseline="0"/>
                      <a:pPr>
                        <a:defRPr/>
                      </a:pPr>
                      <a:t>[เปอร์เซ็นต์]</a:t>
                    </a:fld>
                    <a:endParaRPr lang="en-US"/>
                  </a:p>
                </c:rich>
              </c:tx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3056"/>
                        <a:gd name="adj2" fmla="val 20793"/>
                      </a:avLst>
                    </a:prstGeom>
                    <a:noFill/>
                    <a:ln>
                      <a:noFill/>
                    </a:ln>
                  </c15:spPr>
                  <c15:layout/>
                  <c15:dlblFieldTable/>
                  <c15:showDataLabelsRange val="0"/>
                </c:ext>
              </c:extLst>
            </c:dLbl>
            <c:dLbl>
              <c:idx val="2"/>
              <c:layout>
                <c:manualLayout>
                  <c:x val="3.1872509960159362E-2"/>
                  <c:y val="3.0131871423508427E-2"/>
                </c:manualLayout>
              </c:layout>
              <c:tx>
                <c:rich>
                  <a:bodyPr/>
                  <a:lstStyle/>
                  <a:p>
                    <a:fld id="{0B01ECE5-3A7B-46E9-B21F-CE2FEC364E49}" type="CATEGORYNAME">
                      <a:rPr lang="en-US"/>
                      <a:pPr/>
                      <a:t>[ชื่อประเภท]</a:t>
                    </a:fld>
                    <a:r>
                      <a:rPr lang="en-US"/>
                      <a:t> </a:t>
                    </a:r>
                    <a:fld id="{A5564CE2-2394-454D-BD26-4580B139A43E}" type="PERCENTAGE">
                      <a:rPr lang="en-US" baseline="0"/>
                      <a:pPr/>
                      <a:t>[เปอร์เซ็นต์]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3"/>
              <c:layout>
                <c:manualLayout>
                  <c:x val="1.3280212483399735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Workspace!$A$2:$A$8</c:f>
              <c:strCache>
                <c:ptCount val="7"/>
                <c:pt idx="0">
                  <c:v>Customer Service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Workspace!$D$2:$D$8</c:f>
              <c:numCache>
                <c:formatCode>_(* #,##0_);_(* \(#,##0\);_(* "-"??_);_(@_)</c:formatCode>
                <c:ptCount val="7"/>
                <c:pt idx="0">
                  <c:v>260725</c:v>
                </c:pt>
                <c:pt idx="1">
                  <c:v>237471</c:v>
                </c:pt>
                <c:pt idx="2">
                  <c:v>336164</c:v>
                </c:pt>
                <c:pt idx="3">
                  <c:v>421647</c:v>
                </c:pt>
                <c:pt idx="4">
                  <c:v>224986</c:v>
                </c:pt>
                <c:pt idx="5">
                  <c:v>899481</c:v>
                </c:pt>
                <c:pt idx="6">
                  <c:v>1340015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314325</xdr:colOff>
      <xdr:row>21</xdr:row>
      <xdr:rowOff>47624</xdr:rowOff>
    </xdr:from>
    <xdr:to>
      <xdr:col>15</xdr:col>
      <xdr:colOff>9292</xdr:colOff>
      <xdr:row>30</xdr:row>
      <xdr:rowOff>28575</xdr:rowOff>
    </xdr:to>
    <xdr:pic>
      <xdr:nvPicPr>
        <xdr:cNvPr id="2" name="รูปภาพ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5" y="4505324"/>
          <a:ext cx="3857392" cy="220980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87</xdr:row>
      <xdr:rowOff>0</xdr:rowOff>
    </xdr:from>
    <xdr:to>
      <xdr:col>7</xdr:col>
      <xdr:colOff>457200</xdr:colOff>
      <xdr:row>96</xdr:row>
      <xdr:rowOff>161925</xdr:rowOff>
    </xdr:to>
    <xdr:pic>
      <xdr:nvPicPr>
        <xdr:cNvPr id="3" name="รูปภาพ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316" b="62318"/>
        <a:stretch/>
      </xdr:blipFill>
      <xdr:spPr>
        <a:xfrm>
          <a:off x="1819275" y="21793200"/>
          <a:ext cx="5019675" cy="239077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83</xdr:row>
      <xdr:rowOff>95250</xdr:rowOff>
    </xdr:from>
    <xdr:to>
      <xdr:col>16</xdr:col>
      <xdr:colOff>114300</xdr:colOff>
      <xdr:row>97</xdr:row>
      <xdr:rowOff>143760</xdr:rowOff>
    </xdr:to>
    <xdr:pic>
      <xdr:nvPicPr>
        <xdr:cNvPr id="4" name="รูปภาพ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770" t="44589" r="4968"/>
        <a:stretch/>
      </xdr:blipFill>
      <xdr:spPr>
        <a:xfrm>
          <a:off x="6838950" y="20897850"/>
          <a:ext cx="4686300" cy="351561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137</xdr:row>
      <xdr:rowOff>228600</xdr:rowOff>
    </xdr:from>
    <xdr:to>
      <xdr:col>6</xdr:col>
      <xdr:colOff>267096</xdr:colOff>
      <xdr:row>146</xdr:row>
      <xdr:rowOff>47911</xdr:rowOff>
    </xdr:to>
    <xdr:pic>
      <xdr:nvPicPr>
        <xdr:cNvPr id="5" name="รูปภาพ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0" y="34528125"/>
          <a:ext cx="2838846" cy="2048161"/>
        </a:xfrm>
        <a:prstGeom prst="rect">
          <a:avLst/>
        </a:prstGeom>
      </xdr:spPr>
    </xdr:pic>
    <xdr:clientData/>
  </xdr:twoCellAnchor>
  <xdr:twoCellAnchor>
    <xdr:from>
      <xdr:col>7</xdr:col>
      <xdr:colOff>528637</xdr:colOff>
      <xdr:row>244</xdr:row>
      <xdr:rowOff>4762</xdr:rowOff>
    </xdr:from>
    <xdr:to>
      <xdr:col>12</xdr:col>
      <xdr:colOff>23812</xdr:colOff>
      <xdr:row>255</xdr:row>
      <xdr:rowOff>23812</xdr:rowOff>
    </xdr:to>
    <xdr:graphicFrame macro="">
      <xdr:nvGraphicFramePr>
        <xdr:cNvPr id="7" name="แผนภูมิ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252412</xdr:colOff>
      <xdr:row>244</xdr:row>
      <xdr:rowOff>4762</xdr:rowOff>
    </xdr:from>
    <xdr:to>
      <xdr:col>19</xdr:col>
      <xdr:colOff>490537</xdr:colOff>
      <xdr:row>255</xdr:row>
      <xdr:rowOff>23812</xdr:rowOff>
    </xdr:to>
    <xdr:graphicFrame macro="">
      <xdr:nvGraphicFramePr>
        <xdr:cNvPr id="8" name="แผนภูมิ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11</xdr:row>
      <xdr:rowOff>28580</xdr:rowOff>
    </xdr:from>
    <xdr:to>
      <xdr:col>5</xdr:col>
      <xdr:colOff>38100</xdr:colOff>
      <xdr:row>24</xdr:row>
      <xdr:rowOff>180975</xdr:rowOff>
    </xdr:to>
    <xdr:graphicFrame macro="">
      <xdr:nvGraphicFramePr>
        <xdr:cNvPr id="5" name="แผนภูมิ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y Documents" refreshedDate="46256.667602083333" createdVersion="5" refreshedVersion="5" minRefreshableVersion="3" recordCount="180">
  <cacheSource type="worksheet">
    <worksheetSource name="Sales"/>
  </cacheSource>
  <cacheFields count="22">
    <cacheField name="Sale_ID" numFmtId="0">
      <sharedItems count="180">
        <s v="S0001"/>
        <s v="S0002"/>
        <s v="S0003"/>
        <s v="S0004"/>
        <s v="S0005"/>
        <s v="S0006"/>
        <s v="S0007"/>
        <s v="S0008"/>
        <s v="S0009"/>
        <s v="S0010"/>
        <s v="S0011"/>
        <s v="S0012"/>
        <s v="S0013"/>
        <s v="S0014"/>
        <s v="S0015"/>
        <s v="S0016"/>
        <s v="S0017"/>
        <s v="S0018"/>
        <s v="S0019"/>
        <s v="S0020"/>
        <s v="S0021"/>
        <s v="S0022"/>
        <s v="S0023"/>
        <s v="S0024"/>
        <s v="S0025"/>
        <s v="S0026"/>
        <s v="S0027"/>
        <s v="S0028"/>
        <s v="S0029"/>
        <s v="S0030"/>
        <s v="S0031"/>
        <s v="S0032"/>
        <s v="S0033"/>
        <s v="S0034"/>
        <s v="S0035"/>
        <s v="S0036"/>
        <s v="S0037"/>
        <s v="S0038"/>
        <s v="S0039"/>
        <s v="S0040"/>
        <s v="S0041"/>
        <s v="S0042"/>
        <s v="S0043"/>
        <s v="S0044"/>
        <s v="S0045"/>
        <s v="S0046"/>
        <s v="S0047"/>
        <s v="S0048"/>
        <s v="S0049"/>
        <s v="S0050"/>
        <s v="S0051"/>
        <s v="S0052"/>
        <s v="S0053"/>
        <s v="S0054"/>
        <s v="S0055"/>
        <s v="S0056"/>
        <s v="S0057"/>
        <s v="S0058"/>
        <s v="S0059"/>
        <s v="S0060"/>
        <s v="S0061"/>
        <s v="S0062"/>
        <s v="S0063"/>
        <s v="S0064"/>
        <s v="S0065"/>
        <s v="S0066"/>
        <s v="S0067"/>
        <s v="S0068"/>
        <s v="S0069"/>
        <s v="S0070"/>
        <s v="S0071"/>
        <s v="S0072"/>
        <s v="S0073"/>
        <s v="S0074"/>
        <s v="S0075"/>
        <s v="S0076"/>
        <s v="S0077"/>
        <s v="S0078"/>
        <s v="S0079"/>
        <s v="S0080"/>
        <s v="S0081"/>
        <s v="S0082"/>
        <s v="S0083"/>
        <s v="S0084"/>
        <s v="S0085"/>
        <s v="S0086"/>
        <s v="S0087"/>
        <s v="S0088"/>
        <s v="S0089"/>
        <s v="S0090"/>
        <s v="S0091"/>
        <s v="S0092"/>
        <s v="S0093"/>
        <s v="S0094"/>
        <s v="S0095"/>
        <s v="S0096"/>
        <s v="S0097"/>
        <s v="S0098"/>
        <s v="S0099"/>
        <s v="S0100"/>
        <s v="S0101"/>
        <s v="S0102"/>
        <s v="S0103"/>
        <s v="S0104"/>
        <s v="S0105"/>
        <s v="S0106"/>
        <s v="S0107"/>
        <s v="S0108"/>
        <s v="S0109"/>
        <s v="S0110"/>
        <s v="S0111"/>
        <s v="S0112"/>
        <s v="S0113"/>
        <s v="S0114"/>
        <s v="S0115"/>
        <s v="S0116"/>
        <s v="S0117"/>
        <s v="S0118"/>
        <s v="S0119"/>
        <s v="S0120"/>
        <s v="S0121"/>
        <s v="S0122"/>
        <s v="S0123"/>
        <s v="S0124"/>
        <s v="S0125"/>
        <s v="S0126"/>
        <s v="S0127"/>
        <s v="S0128"/>
        <s v="S0129"/>
        <s v="S0130"/>
        <s v="S0131"/>
        <s v="S0132"/>
        <s v="S0133"/>
        <s v="S0134"/>
        <s v="S0135"/>
        <s v="S0136"/>
        <s v="S0137"/>
        <s v="S0138"/>
        <s v="S0139"/>
        <s v="S0140"/>
        <s v="S0141"/>
        <s v="S0142"/>
        <s v="S0143"/>
        <s v="S0144"/>
        <s v="S0145"/>
        <s v="S0146"/>
        <s v="S0147"/>
        <s v="S0148"/>
        <s v="S0149"/>
        <s v="S0150"/>
        <s v="S0151"/>
        <s v="S0152"/>
        <s v="S0153"/>
        <s v="S0154"/>
        <s v="S0155"/>
        <s v="S0156"/>
        <s v="S0157"/>
        <s v="S0158"/>
        <s v="S0159"/>
        <s v="S0160"/>
        <s v="S0161"/>
        <s v="S0162"/>
        <s v="S0163"/>
        <s v="S0164"/>
        <s v="S0165"/>
        <s v="S0166"/>
        <s v="S0167"/>
        <s v="S0168"/>
        <s v="S0169"/>
        <s v="S0170"/>
        <s v="S0171"/>
        <s v="S0172"/>
        <s v="S0173"/>
        <s v="S0174"/>
        <s v="S0175"/>
        <s v="S0176"/>
        <s v="S0177"/>
        <s v="S0178"/>
        <s v="S0179"/>
        <s v="S0180"/>
      </sharedItems>
    </cacheField>
    <cacheField name="Sale_Date" numFmtId="164">
      <sharedItems containsSemiMixedTypes="0" containsNonDate="0" containsDate="1" containsString="0" minDate="2025-01-01T00:00:00" maxDate="2025-07-01T00:00:00"/>
    </cacheField>
    <cacheField name="Employee_ID" numFmtId="0">
      <sharedItems count="82">
        <s v="E069"/>
        <s v="E042"/>
        <s v="E041"/>
        <s v="E079"/>
        <s v="E004"/>
        <s v="E082"/>
        <s v="E016"/>
        <s v="E010"/>
        <s v="E047"/>
        <s v="E028"/>
        <s v="E009"/>
        <s v="E001"/>
        <s v="E032"/>
        <s v="E080"/>
        <s v="E012"/>
        <s v="E094"/>
        <s v="E073"/>
        <s v="E037"/>
        <s v="E081"/>
        <s v="E021"/>
        <s v="E044"/>
        <s v="E066"/>
        <s v="E074"/>
        <s v="E048"/>
        <s v="E045"/>
        <s v="E076"/>
        <s v="E059"/>
        <s v="E055"/>
        <s v="E046"/>
        <s v="E005"/>
        <s v="E007"/>
        <s v="E051"/>
        <s v="E013"/>
        <s v="E022"/>
        <s v="E060"/>
        <s v="E077"/>
        <s v="E070"/>
        <s v="E072"/>
        <s v="E011"/>
        <s v="E040"/>
        <s v="E067"/>
        <s v="E088"/>
        <s v="E024"/>
        <s v="E064"/>
        <s v="E063"/>
        <s v="E034"/>
        <s v="E025"/>
        <s v="E056"/>
        <s v="E087"/>
        <s v="E008"/>
        <s v="E015"/>
        <s v="E035"/>
        <s v="E002"/>
        <s v="E061"/>
        <s v="E054"/>
        <s v="E092"/>
        <s v="E068"/>
        <s v="E020"/>
        <s v="E033"/>
        <s v="E039"/>
        <s v="E085"/>
        <s v="E018"/>
        <s v="E029"/>
        <s v="E086"/>
        <s v="E057"/>
        <s v="E071"/>
        <s v="E030"/>
        <s v="E036"/>
        <s v="E017"/>
        <s v="E043"/>
        <s v="E014"/>
        <s v="E075"/>
        <s v="E078"/>
        <s v="E058"/>
        <s v="E027"/>
        <s v="E031"/>
        <s v="E090"/>
        <s v="E049"/>
        <s v="E019"/>
        <s v="E006"/>
        <s v="E084"/>
        <s v="E083"/>
      </sharedItems>
    </cacheField>
    <cacheField name="Customer_ID" numFmtId="0">
      <sharedItems/>
    </cacheField>
    <cacheField name="Product_ID" numFmtId="0">
      <sharedItems/>
    </cacheField>
    <cacheField name="Quantity" numFmtId="4">
      <sharedItems containsSemiMixedTypes="0" containsString="0" containsNumber="1" containsInteger="1" minValue="1" maxValue="18"/>
    </cacheField>
    <cacheField name="Discount" numFmtId="2">
      <sharedItems containsSemiMixedTypes="0" containsString="0" containsNumber="1" minValue="0" maxValue="0.12"/>
    </cacheField>
    <cacheField name="Sales_Amount" numFmtId="4">
      <sharedItems containsSemiMixedTypes="0" containsString="0" containsNumber="1" containsInteger="1" minValue="2576" maxValue="823680"/>
    </cacheField>
    <cacheField name="Cost_Amount" numFmtId="43">
      <sharedItems containsSemiMixedTypes="0" containsString="0" containsNumber="1" containsInteger="1" minValue="1800" maxValue="756000"/>
    </cacheField>
    <cacheField name="Profit" numFmtId="4">
      <sharedItems containsSemiMixedTypes="0" containsString="0" containsNumber="1" containsInteger="1" minValue="776" maxValue="118160" count="158">
        <n v="3840"/>
        <n v="9600"/>
        <n v="10285"/>
        <n v="6144"/>
        <n v="3822"/>
        <n v="9440"/>
        <n v="9750"/>
        <n v="17640"/>
        <n v="23712"/>
        <n v="12740"/>
        <n v="14400"/>
        <n v="20800"/>
        <n v="27650"/>
        <n v="12800"/>
        <n v="4752"/>
        <n v="67680"/>
        <n v="61000"/>
        <n v="6150"/>
        <n v="50000"/>
        <n v="58800"/>
        <n v="42000"/>
        <n v="13720"/>
        <n v="32500"/>
        <n v="11680"/>
        <n v="9200"/>
        <n v="3300"/>
        <n v="18795"/>
        <n v="14656"/>
        <n v="26850"/>
        <n v="13090"/>
        <n v="24120"/>
        <n v="13200"/>
        <n v="60160"/>
        <n v="7200"/>
        <n v="22620"/>
        <n v="19200"/>
        <n v="24140"/>
        <n v="29600"/>
        <n v="32040"/>
        <n v="8400"/>
        <n v="25675"/>
        <n v="31440"/>
        <n v="45000"/>
        <n v="6255"/>
        <n v="4800"/>
        <n v="13440"/>
        <n v="6300"/>
        <n v="5936"/>
        <n v="9075"/>
        <n v="2568"/>
        <n v="9900"/>
        <n v="10075"/>
        <n v="11520"/>
        <n v="46440"/>
        <n v="11200"/>
        <n v="7920"/>
        <n v="72360"/>
        <n v="5000"/>
        <n v="3200"/>
        <n v="27360"/>
        <n v="2880"/>
        <n v="90000"/>
        <n v="9216"/>
        <n v="6720"/>
        <n v="6984"/>
        <n v="8000"/>
        <n v="20400"/>
        <n v="10944"/>
        <n v="28000"/>
        <n v="26712"/>
        <n v="15480"/>
        <n v="17850"/>
        <n v="8520"/>
        <n v="21504"/>
        <n v="2160"/>
        <n v="4608"/>
        <n v="12900"/>
        <n v="4560"/>
        <n v="17800"/>
        <n v="21600"/>
        <n v="10525"/>
        <n v="776"/>
        <n v="4368"/>
        <n v="7650"/>
        <n v="2840"/>
        <n v="33600"/>
        <n v="7500"/>
        <n v="17040"/>
        <n v="118160"/>
        <n v="13600"/>
        <n v="9120"/>
        <n v="27200"/>
        <n v="56520"/>
        <n v="30080"/>
        <n v="59520"/>
        <n v="10288"/>
        <n v="6384"/>
        <n v="38500"/>
        <n v="44400"/>
        <n v="5850"/>
        <n v="1824"/>
        <n v="27000"/>
        <n v="7840"/>
        <n v="1800"/>
        <n v="13380"/>
        <n v="25000"/>
        <n v="12768"/>
        <n v="4345"/>
        <n v="63920"/>
        <n v="4120"/>
        <n v="14256"/>
        <n v="1680"/>
        <n v="109800"/>
        <n v="9100"/>
        <n v="8632"/>
        <n v="6672"/>
        <n v="11600"/>
        <n v="19140"/>
        <n v="896"/>
        <n v="3336"/>
        <n v="26248"/>
        <n v="2226"/>
        <n v="14240"/>
        <n v="23220"/>
        <n v="3600"/>
        <n v="40500"/>
        <n v="12992"/>
        <n v="15804"/>
        <n v="16324"/>
        <n v="5880"/>
        <n v="30480"/>
        <n v="110000"/>
        <n v="9520"/>
        <n v="16480"/>
        <n v="15840"/>
        <n v="13920"/>
        <n v="17280"/>
        <n v="2500"/>
        <n v="7704"/>
        <n v="16800"/>
        <n v="5320"/>
        <n v="104000"/>
        <n v="1550"/>
        <n v="23140"/>
        <n v="19760"/>
        <n v="52260"/>
        <n v="19600"/>
        <n v="3000"/>
        <n v="1740"/>
        <n v="34905"/>
        <n v="13800"/>
        <n v="43500"/>
        <n v="23000"/>
        <n v="6336"/>
        <n v="10200"/>
        <n v="72000"/>
        <n v="14560"/>
        <n v="28140"/>
      </sharedItems>
    </cacheField>
    <cacheField name="Region" numFmtId="0">
      <sharedItems count="5">
        <s v="Northeast"/>
        <s v="South"/>
        <s v="Central"/>
        <s v="East"/>
        <s v="North"/>
      </sharedItems>
    </cacheField>
    <cacheField name="Order_Status" numFmtId="0">
      <sharedItems/>
    </cacheField>
    <cacheField name="Employee_Name" numFmtId="0">
      <sharedItems count="82">
        <s v="อัครพล จันทร์โอชา"/>
        <s v="ศุภชัย วิชัยดิษฐ์"/>
        <s v="รัชชานนท์ วงศ์วัฒนะ"/>
        <s v="ธนโชติ สกุลไทย"/>
        <s v="อัญชลี เจริญกิจ"/>
        <s v="ณัฐณิชา พูนทรัพย์"/>
        <s v="วุฒิชัย ปรีชานนท์"/>
        <s v="สุภัสสรา ศรีทอง"/>
        <s v="พิมพ์ลภัส รุ่งเรือง"/>
        <s v="อธิป สมบูรณ์"/>
        <s v="สิริกานต์ มงคลชัย"/>
        <s v="นที นาคะ"/>
        <s v="รณกร รุ่งเรือง"/>
        <s v="ชุติมา ศักดิ์ชัย"/>
        <s v="วรเมธ กาญจนวัฒน์"/>
        <s v="สรวิชญ์ อุดมทรัพย์"/>
        <s v="มนัสวี ธรรมรักษ์"/>
        <s v="นภัสสร จันทร์โอชา"/>
        <s v="อัญชลี ชาญณรงค์"/>
        <s v="นราวิชญ์ รุ่งเรือง"/>
        <s v="อธิป สุขเกษม"/>
        <s v="นภัสสร รัตนกุล"/>
        <s v="พิมพ์ชนก พงษ์พานิช"/>
        <s v="นภัสสร วรเศรษฐ์"/>
        <s v="ธนกร วรานนท์"/>
        <s v="ศรัณย์ แสงทอง"/>
        <s v="ธีรภัทร ศรีทอง"/>
        <s v="รณกร มงคลชัย"/>
        <s v="ชุติมา ศรีสวัสดิ์"/>
        <s v="ปวีณา วัฒนชัย"/>
        <s v="ณัฐริกา ภักดี"/>
        <s v="รินรดา วงศ์วัฒนะ"/>
        <s v="ธนพร ไชยวงศ์"/>
        <s v="สิรภพ เจริญพร"/>
        <s v="ศุภณัฐ ศรีสวัสดิ์"/>
        <s v="สุภัสสรา พัฒนวงศ์"/>
        <s v="ชุติมา รุ่งเรือง"/>
        <s v="ศรัณย์ ชัยมงคล"/>
        <s v="ณิชา ภักดี"/>
        <s v="สิริกานต์ วัฒนกุล"/>
        <s v="ภูริ กาญจนวัฒน์"/>
        <s v="ณัฐริกา กิตติวัฒน์"/>
        <s v="นภัสสร ศักดิ์ชัย"/>
        <s v="พิชชาภา วัฒนชัย"/>
        <s v="ภาคภูมิ วรเศรษฐ์"/>
        <s v="ณัฐริกา ศรีนคร"/>
        <s v="สิริกานต์ สุขเกษม"/>
        <s v="ณัฐริกา บุญส่ง"/>
        <s v="ภานุวัฒน์ ภักดี"/>
        <s v="วรัญญา บุญมี"/>
        <s v="ภานุวัฒน์ ศรีทอง"/>
        <s v="อัครพล บุญมี"/>
        <s v="วรพล ธนากุล"/>
        <s v="ชญานิศ พิบูลย์"/>
        <s v="รินรดา ศักดิ์ชัย"/>
        <s v="ณัฐพล พัฒนวงศ์"/>
        <s v="ชลธิชา ธรรมรักษ์"/>
        <s v="ปกรณ์ ไชยวงศ์"/>
        <s v="เจษฎา กาญจนวัฒน์"/>
        <s v="ภาคิน พูนทรัพย์"/>
        <s v="ธนโชติ มงคลชัย"/>
        <s v="ชุติมา แสงทอง"/>
        <s v="ณัฐณิชา สกุลไทย"/>
        <s v="ชนาภา วัฒนชัย"/>
        <s v="ศรัณย์ อินทรา"/>
        <s v="พิมพ์ชนก สุนทร"/>
        <s v="ศุภชัย พัฒนวงศ์"/>
        <s v="ปิยธิดา สุนทร"/>
        <s v="ภูวดล วิชัยดิษฐ์"/>
        <s v="ศศิธร รัตนโชติ"/>
        <s v="พัชราภา วงศ์วัฒนะ"/>
        <s v="ภูริ ชูศักดิ์"/>
        <s v="รณกร ศรีทอง"/>
        <s v="เอกภพ มณีรัตน์"/>
        <s v="นภัสสร รุ่งเรือง"/>
        <s v="ณัฐณิชา ประเสริฐสุข"/>
        <s v="ชยพล มณีรัตน์"/>
        <s v="ชยพล วัฒนกุล"/>
        <s v="อริสรา ไพศาล"/>
        <s v="สุภัสสรา ศักดิ์ชัย"/>
        <s v="ชยพล ชาญณรงค์"/>
        <s v="อนุชา รุ่งเรือง"/>
      </sharedItems>
    </cacheField>
    <cacheField name="Department" numFmtId="0">
      <sharedItems count="7">
        <s v="Operations"/>
        <s v="IT"/>
        <s v="Marketing"/>
        <s v="Sales"/>
        <s v="Finance"/>
        <s v="Customer Service"/>
        <s v="HR"/>
      </sharedItems>
    </cacheField>
    <cacheField name="Customer_Name" numFmtId="0">
      <sharedItems count="48">
        <s v="บริษัท ซันไรส์ จำกัด"/>
        <s v="บริษัท อินโนเวท จำกัด"/>
        <s v="บริษัท ซิกม่า จำกัด"/>
        <s v="บริษัท ควอลิตี้พาร์ท จำกัด"/>
        <s v="บริษัท ทรีสตาร์ จำกัด"/>
        <s v="บริษัท เรดโรส จำกัด"/>
        <s v="บริษัท ซิตี้ลิงก์ จำกัด"/>
        <s v="บริษัท แกรนด์เอเชีย จำกัด"/>
        <s v="บริษัท ไบรท์โซลูชัน จำกัด"/>
        <s v="บริษัท โปรเกรสซีฟ จำกัด"/>
        <s v="บริษัท โกลบอลคอนเนค จำกัด"/>
        <s v="บริษัท เวลธ์เทรด จำกัด"/>
        <s v="บริษัท ครีเอทีฟเวิร์ค จำกัด"/>
        <s v="บริษัท เมโทรมาร์ท จำกัด"/>
        <s v="บริษัท พีคเพอร์ฟอร์แมนซ์ จำกัด"/>
        <s v="บริษัท สปีดคอมเมิร์ซ จำกัด"/>
        <s v="บริษัท โฟกัสซัพพลาย จำกัด"/>
        <s v="บริษัท ไพรม์เวิร์ค จำกัด"/>
        <s v="บริษัท กรีนเวฟ จำกัด"/>
        <s v="บริษัท ดิจิเทค จำกัด"/>
        <s v="บริษัท เอเวอร์กรีน จำกัด"/>
        <s v="บริษัท พีเอสเอส จำกัด"/>
        <s v="บริษัท สมาร์ทเวิร์ค จำกัด"/>
        <s v="บริษัท ไทยโปรซิสเต็ม จำกัด"/>
        <s v="บริษัท มาร์เก็ตพลัส จำกัด"/>
        <s v="บริษัท เฟิร์สช้อยส์ จำกัด"/>
        <s v="บริษัท เอ็นเตอร์ไพรส์ไทย จำกัด"/>
        <s v="บริษัท ฟิวเจอร์ลิงก์ จำกัด"/>
        <s v="บริษัท วิชั่นเน็ต จำกัด"/>
        <s v="บริษัท ยูนิตี้ จำกัด"/>
        <s v="บริษัท ไอเดียพลัส จำกัด"/>
        <s v="บริษัท เน็กซ์เจน จำกัด"/>
        <s v="บริษัท สตาร์มาร์ท จำกัด"/>
        <s v="บริษัท อีโคซัพพลาย จำกัด"/>
        <s v="บริษัท เอเชียซัพพลาย จำกัด"/>
        <s v="บริษัท ไทยโฮลดิ้ง จำกัด"/>
        <s v="บริษัท อัลฟ่า เทรดดิ้ง จำกัด"/>
        <s v="บริษัท เอ็มไพร์โซลูชัน จำกัด"/>
        <s v="บริษัท เซ็นทรัลเทค จำกัด"/>
        <s v="บริษัท บลูโอเชียน จำกัด"/>
        <s v="บริษัท นอร์ทสตาร์ จำกัด"/>
        <s v="บริษัท โกลด์สโตน จำกัด"/>
        <s v="บริษัท ออริจินัลซัพพลาย จำกัด"/>
        <s v="บริษัท โมเดิร์นเทรด จำกัด"/>
        <s v="บริษัท พรีเมียมโฮม จำกัด"/>
        <s v="บริษัท เอ็กซ์เซลเลนท์ จำกัด"/>
        <s v="บริษัท วันสต็อป เซอร์วิส จำกัด"/>
        <s v="บริษัท เอเชียเน็ต จำกัด"/>
      </sharedItems>
    </cacheField>
    <cacheField name="Customer_Segment" numFmtId="0">
      <sharedItems count="3">
        <s v="Retail Chain"/>
        <s v="Enterprise"/>
        <s v="SME"/>
      </sharedItems>
    </cacheField>
    <cacheField name="Customer_Tier" numFmtId="0">
      <sharedItems/>
    </cacheField>
    <cacheField name="Product_Name" numFmtId="0">
      <sharedItems/>
    </cacheField>
    <cacheField name="Category" numFmtId="0">
      <sharedItems/>
    </cacheField>
    <cacheField name="Unit_Cost" numFmtId="165">
      <sharedItems containsSemiMixedTypes="0" containsString="0" containsNumber="1" containsInteger="1" minValue="650" maxValue="42000"/>
    </cacheField>
    <cacheField name="List_Price" numFmtId="165">
      <sharedItems containsSemiMixedTypes="0" containsString="0" containsNumber="1" containsInteger="1" minValue="1100" maxValue="52000"/>
    </cacheField>
    <cacheField name="Net_Sales" numFmtId="43">
      <sharedItems containsSemiMixedTypes="0" containsString="0" containsNumber="1" containsInteger="1" minValue="2576" maxValue="823680" count="158">
        <n v="15840"/>
        <n v="28800"/>
        <n v="30685"/>
        <n v="25344"/>
        <n v="12222"/>
        <n v="37440"/>
        <n v="47250"/>
        <n v="58140"/>
        <n v="86112"/>
        <n v="40740"/>
        <n v="72900"/>
        <n v="105300"/>
        <n v="86450"/>
        <n v="64800"/>
        <n v="17952"/>
        <n v="823680"/>
        <n v="361000"/>
        <n v="25650"/>
        <n v="260000"/>
        <n v="43200"/>
        <n v="478800"/>
        <n v="144000"/>
        <n v="52920"/>
        <n v="117000"/>
        <n v="95680"/>
        <n v="62400"/>
        <n v="9700"/>
        <n v="71295"/>
        <n v="43456"/>
        <n v="101850"/>
        <n v="43890"/>
        <n v="93120"/>
        <n v="39600"/>
        <n v="732160"/>
        <n v="20400"/>
        <n v="120120"/>
        <n v="54400"/>
        <n v="134640"/>
        <n v="197600"/>
        <n v="149040"/>
        <n v="25200"/>
        <n v="80275"/>
        <n v="98940"/>
        <n v="162000"/>
        <n v="16005"/>
        <n v="14400"/>
        <n v="51840"/>
        <n v="17500"/>
        <n v="23936"/>
        <n v="27075"/>
        <n v="9568"/>
        <n v="35100"/>
        <n v="30875"/>
        <n v="47520"/>
        <n v="253440"/>
        <n v="27720"/>
        <n v="279360"/>
        <n v="18000"/>
        <n v="16200"/>
        <n v="102960"/>
        <n v="9880"/>
        <n v="468000"/>
        <n v="38016"/>
        <n v="25920"/>
        <n v="23184"/>
        <n v="24000"/>
        <n v="68400"/>
        <n v="39744"/>
        <n v="96000"/>
        <n v="107712"/>
        <n v="55080"/>
        <n v="59850"/>
        <n v="88704"/>
        <n v="7560"/>
        <n v="19008"/>
        <n v="45900"/>
        <n v="17160"/>
        <n v="59800"/>
        <n v="31525"/>
        <n v="2576"/>
        <n v="13968"/>
        <n v="18700"/>
        <n v="327600"/>
        <n v="27000"/>
        <n v="95040"/>
        <n v="706160"/>
        <n v="45600"/>
        <n v="33120"/>
        <n v="137700"/>
        <n v="209520"/>
        <n v="366080"/>
        <n v="419520"/>
        <n v="61200"/>
        <n v="29488"/>
        <n v="132000"/>
        <n v="296400"/>
        <n v="14300"/>
        <n v="6624"/>
        <n v="25840"/>
        <n v="5000"/>
        <n v="52380"/>
        <n v="90000"/>
        <n v="46368"/>
        <n v="11495"/>
        <n v="777920"/>
        <n v="21120"/>
        <n v="53856"/>
        <n v="6480"/>
        <n v="649800"/>
        <n v="81600"/>
        <n v="31500"/>
        <n v="32032"/>
        <n v="17072"/>
        <n v="57600"/>
        <n v="101640"/>
        <n v="3696"/>
        <n v="8536"/>
        <n v="85748"/>
        <n v="6776"/>
        <n v="66240"/>
        <n v="126720"/>
        <n v="10800"/>
        <n v="43792"/>
        <n v="56304"/>
        <n v="65824"/>
        <n v="19380"/>
        <n v="132480"/>
        <n v="572000"/>
        <n v="31920"/>
        <n v="84480"/>
        <n v="36800"/>
        <n v="54340"/>
        <n v="73920"/>
        <n v="59280"/>
        <n v="9000"/>
        <n v="28704"/>
        <n v="50400"/>
        <n v="19320"/>
        <n v="494000"/>
        <n v="40000"/>
        <n v="4750"/>
        <n v="47600"/>
        <n v="107640"/>
        <n v="74360"/>
        <n v="201760"/>
        <n v="58800"/>
        <n v="8400"/>
        <n v="9240"/>
        <n v="132405"/>
        <n v="40800"/>
        <n v="216000"/>
        <n v="68000"/>
        <n v="48600"/>
        <n v="37400"/>
        <n v="147000"/>
        <n v="256000"/>
        <n v="46560"/>
        <n v="1086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y Documents" refreshedDate="46256.907860185187" createdVersion="5" refreshedVersion="5" minRefreshableVersion="3" recordCount="95">
  <cacheSource type="worksheet">
    <worksheetSource name="Performance"/>
  </cacheSource>
  <cacheFields count="16">
    <cacheField name="Employee_ID" numFmtId="0">
      <sharedItems/>
    </cacheField>
    <cacheField name="Employee_Name" numFmtId="0">
      <sharedItems count="95">
        <s v="นที นาคะ"/>
        <s v="วรพล ธนากุล"/>
        <s v="อัญชลี ทองดี"/>
        <s v="อัญชลี เจริญกิจ"/>
        <s v="ปวีณา วัฒนชัย"/>
        <s v="สุภัสสรา ศักดิ์ชัย"/>
        <s v="ณัฐริกา ภักดี"/>
        <s v="วรัญญา บุญมี"/>
        <s v="สิริกานต์ มงคลชัย"/>
        <s v="สุภัสสรา ศรีทอง"/>
        <s v="ณิชา ภักดี"/>
        <s v="วรเมธ กาญจนวัฒน์"/>
        <s v="ธนพร ไชยวงศ์"/>
        <s v="พัชราภา วงศ์วัฒนะ"/>
        <s v="ภานุวัฒน์ ศรีทอง"/>
        <s v="วุฒิชัย ปรีชานนท์"/>
        <s v="ภูวดล วิชัยดิษฐ์"/>
        <s v="ชุติมา แสงทอง"/>
        <s v="อริสรา ไพศาล"/>
        <s v="ปกรณ์ ไชยวงศ์"/>
        <s v="นราวิชญ์ รุ่งเรือง"/>
        <s v="สิรภพ เจริญพร"/>
        <s v="รวิ สมบูรณ์"/>
        <s v="นภัสสร ศักดิ์ชัย"/>
        <s v="สิริกานต์ สุขเกษม"/>
        <s v="เจษฎา กุลธร"/>
        <s v="นภัสสร รุ่งเรือง"/>
        <s v="อธิป สมบูรณ์"/>
        <s v="ณัฐณิชา สกุลไทย"/>
        <s v="ศุภชัย พัฒนวงศ์"/>
        <s v="ณัฐณิชา ประเสริฐสุข"/>
        <s v="รณกร รุ่งเรือง"/>
        <s v="เจษฎา กาญจนวัฒน์"/>
        <s v="ณัฐริกา ศรีนคร"/>
        <s v="อัครพล บุญมี"/>
        <s v="ปิยธิดา สุนทร"/>
        <s v="นภัสสร จันทร์โอชา"/>
        <s v="สุภัสสรา เจริญกิจ"/>
        <s v="ภาคิน พูนทรัพย์"/>
        <s v="สิริกานต์ วัฒนกุล"/>
        <s v="รัชชานนท์ วงศ์วัฒนะ"/>
        <s v="ศุภชัย วิชัยดิษฐ์"/>
        <s v="ศศิธร รัตนโชติ"/>
        <s v="อธิป สุขเกษม"/>
        <s v="ธนกร วรานนท์"/>
        <s v="ชุติมา ศรีสวัสดิ์"/>
        <s v="พิมพ์ลภัส รุ่งเรือง"/>
        <s v="นภัสสร วรเศรษฐ์"/>
        <s v="ชยพล วัฒนกุล"/>
        <s v="ปวีณา พงษ์พานิช"/>
        <s v="รินรดา วงศ์วัฒนะ"/>
        <s v="ณัฐดนัย แสงทอง"/>
        <s v="สรวิชญ์ มณีรัตน์"/>
        <s v="รินรดา ศักดิ์ชัย"/>
        <s v="รณกร มงคลชัย"/>
        <s v="ณัฐริกา บุญส่ง"/>
        <s v="ศรัณย์ อินทรา"/>
        <s v="เอกภพ มณีรัตน์"/>
        <s v="ธีรภัทร ศรีทอง"/>
        <s v="ศุภณัฐ ศรีสวัสดิ์"/>
        <s v="ชญานิศ พิบูลย์"/>
        <s v="นราวิชญ์ ศรีทอง"/>
        <s v="ภาคภูมิ วรเศรษฐ์"/>
        <s v="พิชชาภา วัฒนชัย"/>
        <s v="นภัสสร สุนทร"/>
        <s v="นภัสสร รัตนกุล"/>
        <s v="ภูริ กาญจนวัฒน์"/>
        <s v="ชลธิชา ธรรมรักษ์"/>
        <s v="อัครพล จันทร์โอชา"/>
        <s v="ชุติมา รุ่งเรือง"/>
        <s v="พิมพ์ชนก สุนทร"/>
        <s v="ศรัณย์ ชัยมงคล"/>
        <s v="มนัสวี ธรรมรักษ์"/>
        <s v="พิมพ์ชนก พงษ์พานิช"/>
        <s v="ภูริ ชูศักดิ์"/>
        <s v="ศรัณย์ แสงทอง"/>
        <s v="สุภัสสรา พัฒนวงศ์"/>
        <s v="รณกร ศรีทอง"/>
        <s v="ธนโชติ สกุลไทย"/>
        <s v="ชุติมา ศักดิ์ชัย"/>
        <s v="อัญชลี ชาญณรงค์"/>
        <s v="ณัฐณิชา พูนทรัพย์"/>
        <s v="อนุชา รุ่งเรือง"/>
        <s v="ชยพล ชาญณรงค์"/>
        <s v="ธนโชติ มงคลชัย"/>
        <s v="ชนาภา วัฒนชัย"/>
        <s v="ภานุวัฒน์ ภักดี"/>
        <s v="ณัฐริกา กิตติวัฒน์"/>
        <s v="วรัญญา วัฒนศิลป์"/>
        <s v="ชยพล มณีรัตน์"/>
        <s v="ศิรินภา กุลธร"/>
        <s v="ณัฐพล พัฒนวงศ์"/>
        <s v="เจษฎา รุ่งเรือง"/>
        <s v="สรวิชญ์ อุดมทรัพย์"/>
        <s v="ณัฐณิชา ไพศาล"/>
      </sharedItems>
    </cacheField>
    <cacheField name="Department" numFmtId="0">
      <sharedItems/>
    </cacheField>
    <cacheField name="Monthly_Salary" numFmtId="165">
      <sharedItems containsSemiMixedTypes="0" containsString="0" containsNumber="1" containsInteger="1" minValue="27500" maxValue="62500"/>
    </cacheField>
    <cacheField name="Performance_Target" numFmtId="165">
      <sharedItems containsSemiMixedTypes="0" containsString="0" containsNumber="1" containsInteger="1" minValue="460000" maxValue="1300000"/>
    </cacheField>
    <cacheField name="Actual_Result" numFmtId="3">
      <sharedItems containsSemiMixedTypes="0" containsString="0" containsNumber="1" containsInteger="1" minValue="377500" maxValue="1599800"/>
    </cacheField>
    <cacheField name="Quality_Score" numFmtId="4">
      <sharedItems containsSemiMixedTypes="0" containsString="0" containsNumber="1" minValue="55.6" maxValue="99"/>
    </cacheField>
    <cacheField name="Attendance_Score" numFmtId="4">
      <sharedItems containsSemiMixedTypes="0" containsString="0" containsNumber="1" minValue="86.4" maxValue="100"/>
    </cacheField>
    <cacheField name="Teamwork_Score" numFmtId="4">
      <sharedItems containsSemiMixedTypes="0" containsString="0" containsNumber="1" minValue="60" maxValue="99"/>
    </cacheField>
    <cacheField name="Customer_Score" numFmtId="4">
      <sharedItems containsSemiMixedTypes="0" containsString="0" containsNumber="1" minValue="64.599999999999994" maxValue="99"/>
    </cacheField>
    <cacheField name="Overall_Score" numFmtId="4">
      <sharedItems containsSemiMixedTypes="0" containsString="0" containsNumber="1" minValue="76.099999999999994" maxValue="100" count="70">
        <n v="97.7"/>
        <n v="79.599999999999994"/>
        <n v="94.8"/>
        <n v="99.9"/>
        <n v="87.7"/>
        <n v="100"/>
        <n v="78.7"/>
        <n v="94.7"/>
        <n v="86.8"/>
        <n v="77.2"/>
        <n v="93.1"/>
        <n v="88.9"/>
        <n v="90.6"/>
        <n v="84.2"/>
        <n v="85.7"/>
        <n v="88.5"/>
        <n v="85.4"/>
        <n v="91.4"/>
        <n v="93.9"/>
        <n v="83"/>
        <n v="81.599999999999994"/>
        <n v="85.3"/>
        <n v="99"/>
        <n v="98.6"/>
        <n v="98.4"/>
        <n v="89.7"/>
        <n v="89.3"/>
        <n v="90.2"/>
        <n v="81.7"/>
        <n v="77.099999999999994"/>
        <n v="92.8"/>
        <n v="88.7"/>
        <n v="80.599999999999994"/>
        <n v="98"/>
        <n v="96.3"/>
        <n v="83.5"/>
        <n v="92.7"/>
        <n v="95.7"/>
        <n v="97.6"/>
        <n v="89.1"/>
        <n v="92.1"/>
        <n v="79.8"/>
        <n v="89.2"/>
        <n v="77.8"/>
        <n v="84.4"/>
        <n v="99.2"/>
        <n v="93.8"/>
        <n v="81.400000000000006"/>
        <n v="80.099999999999994"/>
        <n v="81.900000000000006"/>
        <n v="76.099999999999994"/>
        <n v="84.9"/>
        <n v="82.1"/>
        <n v="80.400000000000006"/>
        <n v="95.3"/>
        <n v="93.3"/>
        <n v="94.1"/>
        <n v="93"/>
        <n v="97.8"/>
        <n v="92.6"/>
        <n v="85.6"/>
        <n v="87.4"/>
        <n v="93.7"/>
        <n v="95.6"/>
        <n v="83.9"/>
        <n v="94.9"/>
        <n v="83.1"/>
        <n v="94.6"/>
        <n v="95.4"/>
        <n v="78.8"/>
      </sharedItems>
    </cacheField>
    <cacheField name="Target_Attainment" numFmtId="4">
      <sharedItems containsSemiMixedTypes="0" containsString="0" containsNumber="1" minValue="0.70579439252336451" maxValue="1.4475" count="95">
        <n v="1.0818749999999999"/>
        <n v="0.8005309734513274"/>
        <n v="1.0605769230769231"/>
        <n v="1.2070833333333333"/>
        <n v="0.97254716981132072"/>
        <n v="1.2866666666666666"/>
        <n v="0.71958333333333335"/>
        <n v="1.1071681415929204"/>
        <n v="0.89243902439024392"/>
        <n v="0.7345454545454545"/>
        <n v="1.0114285714285713"/>
        <n v="1.2498198198198198"/>
        <n v="0.9177777777777778"/>
        <n v="1.2497590361445783"/>
        <n v="1.1056164383561644"/>
        <n v="0.81671052631578944"/>
        <n v="0.83487179487179486"/>
        <n v="1.0954545454545455"/>
        <n v="0.88450704225352117"/>
        <n v="1.1617045454545454"/>
        <n v="1.0055434782608696"/>
        <n v="0.98386138613861385"/>
        <n v="0.84694736842105267"/>
        <n v="0.85945945945945945"/>
        <n v="0.84750000000000003"/>
        <n v="0.85883333333333334"/>
        <n v="1.0563865546218487"/>
        <n v="1.107938144329897"/>
        <n v="1.1579629629629629"/>
        <n v="1.1076404494382022"/>
        <n v="1.0554320987654322"/>
        <n v="0.95092307692307687"/>
        <n v="0.99761467889908262"/>
        <n v="0.74752941176470589"/>
        <n v="0.70579439252336451"/>
        <n v="1.1088461538461538"/>
        <n v="0.90573643410852711"/>
        <n v="1.1757377049180329"/>
        <n v="0.94609090909090909"/>
        <n v="1.2696825396825397"/>
        <n v="0.83418918918918916"/>
        <n v="1.0255421686746988"/>
        <n v="0.80641304347826082"/>
        <n v="1.1534328358208956"/>
        <n v="0.84420289855072461"/>
        <n v="1.3070886075949366"/>
        <n v="1.0177941176470588"/>
        <n v="1.1644776119402984"/>
        <n v="1.0757575757575757"/>
        <n v="1.0045054945054945"/>
        <n v="0.98202380952380952"/>
        <n v="1.3082191780821917"/>
        <n v="0.81803278688524594"/>
        <n v="0.88526315789473686"/>
        <n v="0.76833333333333331"/>
        <n v="0.72026666666666672"/>
        <n v="0.76445783132530121"/>
        <n v="1.1619718309859155"/>
        <n v="1.0403296703296703"/>
        <n v="0.78263736263736261"/>
        <n v="0.71974683544303797"/>
        <n v="1.2838372093023256"/>
        <n v="0.71211764705882352"/>
        <n v="1.3695604395604395"/>
        <n v="0.7611842105263158"/>
        <n v="1.3067647058823531"/>
        <n v="0.90978021978021983"/>
        <n v="0.85648648648648651"/>
        <n v="1.3464935064935064"/>
        <n v="0.72522388059701492"/>
        <n v="1.2914141414141413"/>
        <n v="0.75769230769230766"/>
        <n v="1.1288297872340425"/>
        <n v="0.9923595505617977"/>
        <n v="1.1038709677419354"/>
        <n v="1.0789473684210527"/>
        <n v="1.2703508771929826"/>
        <n v="1.0154716981132075"/>
        <n v="1.3003370786516855"/>
        <n v="1.17"/>
        <n v="0.9991860465116279"/>
        <n v="0.946031746031746"/>
        <n v="0.95194444444444448"/>
        <n v="0.98092105263157892"/>
        <n v="1.4475"/>
        <n v="1.0737142857142856"/>
        <n v="1.0241379310344827"/>
        <n v="1.1529687500000001"/>
        <n v="0.82065217391304346"/>
        <n v="1.136891891891892"/>
        <n v="0.82166666666666666"/>
        <n v="1.097361111111111"/>
        <n v="1.098032786885246"/>
        <n v="0.78767857142857145"/>
        <n v="1.0539622641509434"/>
      </sharedItems>
    </cacheField>
    <cacheField name="Review_Note" numFmtId="4">
      <sharedItems/>
    </cacheField>
    <cacheField name="BonusEligable" numFmtId="4">
      <sharedItems/>
    </cacheField>
    <cacheField name="Bonus_%" numFmtId="4">
      <sharedItems containsSemiMixedTypes="0" containsString="0" containsNumber="1" minValue="0" maxValue="0.2"/>
    </cacheField>
    <cacheField name="Bonus _Amount" numFmtId="4">
      <sharedItems containsSemiMixedTypes="0" containsString="0" containsNumber="1" containsInteger="1" minValue="0" maxValue="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">
  <r>
    <x v="0"/>
    <d v="2025-05-15T00:00:00"/>
    <x v="0"/>
    <s v="C018"/>
    <s v="P018"/>
    <n v="5"/>
    <n v="0.12"/>
    <n v="15840"/>
    <n v="12000"/>
    <x v="0"/>
    <x v="0"/>
    <s v="Completed"/>
    <x v="0"/>
    <x v="0"/>
    <x v="0"/>
    <x v="0"/>
    <s v="Bronze"/>
    <s v="USB-C Dock"/>
    <s v="Accessories"/>
    <n v="2400"/>
    <n v="3600"/>
    <x v="0"/>
  </r>
  <r>
    <x v="1"/>
    <d v="2025-04-27T00:00:00"/>
    <x v="1"/>
    <s v="C027"/>
    <s v="P018"/>
    <n v="8"/>
    <n v="0"/>
    <n v="28800"/>
    <n v="19200"/>
    <x v="1"/>
    <x v="1"/>
    <s v="Completed"/>
    <x v="1"/>
    <x v="1"/>
    <x v="1"/>
    <x v="0"/>
    <s v="Gold"/>
    <s v="USB-C Dock"/>
    <s v="Accessories"/>
    <n v="2400"/>
    <n v="3600"/>
    <x v="1"/>
  </r>
  <r>
    <x v="2"/>
    <d v="2025-06-12T00:00:00"/>
    <x v="2"/>
    <s v="C040"/>
    <s v="P011"/>
    <n v="17"/>
    <n v="0.05"/>
    <n v="30685"/>
    <n v="20400"/>
    <x v="2"/>
    <x v="2"/>
    <s v="Pending"/>
    <x v="2"/>
    <x v="1"/>
    <x v="2"/>
    <x v="1"/>
    <s v="Silver"/>
    <s v="Webcam HD"/>
    <s v="Accessories"/>
    <n v="1200"/>
    <n v="1900"/>
    <x v="2"/>
  </r>
  <r>
    <x v="3"/>
    <d v="2025-05-02T00:00:00"/>
    <x v="3"/>
    <s v="C024"/>
    <s v="P015"/>
    <n v="6"/>
    <n v="0.12"/>
    <n v="25344"/>
    <n v="19200"/>
    <x v="3"/>
    <x v="1"/>
    <s v="Completed"/>
    <x v="3"/>
    <x v="2"/>
    <x v="3"/>
    <x v="0"/>
    <s v="Bronze"/>
    <s v="Router WiFi 6"/>
    <s v="IT Equipment"/>
    <n v="3200"/>
    <n v="4800"/>
    <x v="3"/>
  </r>
  <r>
    <x v="4"/>
    <d v="2025-01-08T00:00:00"/>
    <x v="4"/>
    <s v="C029"/>
    <s v="P016"/>
    <n v="3"/>
    <n v="0.03"/>
    <n v="12222"/>
    <n v="8400"/>
    <x v="4"/>
    <x v="1"/>
    <s v="Completed"/>
    <x v="4"/>
    <x v="3"/>
    <x v="4"/>
    <x v="1"/>
    <s v="Silver"/>
    <s v="UPS 1000VA"/>
    <s v="IT Equipment"/>
    <n v="2800"/>
    <n v="4200"/>
    <x v="4"/>
  </r>
  <r>
    <x v="5"/>
    <d v="2025-02-22T00:00:00"/>
    <x v="5"/>
    <s v="C017"/>
    <s v="P020"/>
    <n v="8"/>
    <n v="0.1"/>
    <n v="37440"/>
    <n v="28000"/>
    <x v="5"/>
    <x v="3"/>
    <s v="Completed"/>
    <x v="5"/>
    <x v="2"/>
    <x v="5"/>
    <x v="0"/>
    <s v="Gold"/>
    <s v="Barcode Scanner"/>
    <s v="Operations"/>
    <n v="3500"/>
    <n v="5200"/>
    <x v="5"/>
  </r>
  <r>
    <x v="6"/>
    <d v="2025-02-14T00:00:00"/>
    <x v="6"/>
    <s v="C032"/>
    <s v="P007"/>
    <n v="5"/>
    <n v="0.1"/>
    <n v="47250"/>
    <n v="37500"/>
    <x v="6"/>
    <x v="3"/>
    <s v="Completed"/>
    <x v="6"/>
    <x v="3"/>
    <x v="6"/>
    <x v="0"/>
    <s v="Gold"/>
    <s v="Standing Desk"/>
    <s v="Office"/>
    <n v="7500"/>
    <n v="10500"/>
    <x v="6"/>
  </r>
  <r>
    <x v="7"/>
    <d v="2025-04-07T00:00:00"/>
    <x v="7"/>
    <s v="C021"/>
    <s v="P009"/>
    <n v="9"/>
    <n v="0.05"/>
    <n v="58140"/>
    <n v="40500"/>
    <x v="7"/>
    <x v="3"/>
    <s v="Completed"/>
    <x v="7"/>
    <x v="3"/>
    <x v="7"/>
    <x v="0"/>
    <s v="Bronze"/>
    <s v="Network Switch"/>
    <s v="IT Equipment"/>
    <n v="4500"/>
    <n v="6800"/>
    <x v="7"/>
  </r>
  <r>
    <x v="8"/>
    <d v="2025-01-27T00:00:00"/>
    <x v="8"/>
    <s v="C011"/>
    <s v="P006"/>
    <n v="13"/>
    <n v="0.08"/>
    <n v="86112"/>
    <n v="62400"/>
    <x v="8"/>
    <x v="1"/>
    <s v="Completed"/>
    <x v="8"/>
    <x v="1"/>
    <x v="8"/>
    <x v="2"/>
    <s v="Bronze"/>
    <s v="Office Chair Ergo"/>
    <s v="Office"/>
    <n v="4800"/>
    <n v="7200"/>
    <x v="8"/>
  </r>
  <r>
    <x v="9"/>
    <d v="2025-06-25T00:00:00"/>
    <x v="9"/>
    <s v="C031"/>
    <s v="P016"/>
    <n v="10"/>
    <n v="0.03"/>
    <n v="40740"/>
    <n v="28000"/>
    <x v="9"/>
    <x v="3"/>
    <s v="Completed"/>
    <x v="9"/>
    <x v="3"/>
    <x v="9"/>
    <x v="0"/>
    <s v="Bronze"/>
    <s v="UPS 1000VA"/>
    <s v="IT Equipment"/>
    <n v="2800"/>
    <n v="4200"/>
    <x v="9"/>
  </r>
  <r>
    <x v="10"/>
    <d v="2025-06-16T00:00:00"/>
    <x v="10"/>
    <s v="C010"/>
    <s v="P008"/>
    <n v="9"/>
    <n v="0.1"/>
    <n v="72900"/>
    <n v="58500"/>
    <x v="10"/>
    <x v="3"/>
    <s v="Completed"/>
    <x v="10"/>
    <x v="3"/>
    <x v="10"/>
    <x v="2"/>
    <s v="Bronze"/>
    <s v="Printer Laser"/>
    <s v="Office"/>
    <n v="6500"/>
    <n v="9000"/>
    <x v="10"/>
  </r>
  <r>
    <x v="11"/>
    <d v="2025-03-23T00:00:00"/>
    <x v="11"/>
    <s v="C011"/>
    <s v="P013"/>
    <n v="13"/>
    <n v="0.1"/>
    <n v="105300"/>
    <n v="84500"/>
    <x v="11"/>
    <x v="1"/>
    <s v="Completed"/>
    <x v="11"/>
    <x v="3"/>
    <x v="8"/>
    <x v="2"/>
    <s v="Bronze"/>
    <s v="Tablet 10 Inch"/>
    <s v="IT Equipment"/>
    <n v="6500"/>
    <n v="9000"/>
    <x v="11"/>
  </r>
  <r>
    <x v="12"/>
    <d v="2025-04-10T00:00:00"/>
    <x v="12"/>
    <s v="C039"/>
    <s v="P017"/>
    <n v="14"/>
    <n v="0.05"/>
    <n v="86450"/>
    <n v="58800"/>
    <x v="12"/>
    <x v="2"/>
    <s v="Completed"/>
    <x v="12"/>
    <x v="4"/>
    <x v="11"/>
    <x v="2"/>
    <s v="Silver"/>
    <s v="Office Desk"/>
    <s v="Office"/>
    <n v="4200"/>
    <n v="6500"/>
    <x v="12"/>
  </r>
  <r>
    <x v="13"/>
    <d v="2025-05-17T00:00:00"/>
    <x v="13"/>
    <s v="C042"/>
    <s v="P008"/>
    <n v="8"/>
    <n v="0.1"/>
    <n v="64800"/>
    <n v="52000"/>
    <x v="13"/>
    <x v="2"/>
    <s v="Completed"/>
    <x v="13"/>
    <x v="2"/>
    <x v="12"/>
    <x v="2"/>
    <s v="Bronze"/>
    <s v="Printer Laser"/>
    <s v="Office"/>
    <n v="6500"/>
    <n v="9000"/>
    <x v="13"/>
  </r>
  <r>
    <x v="14"/>
    <d v="2025-06-18T00:00:00"/>
    <x v="10"/>
    <s v="C008"/>
    <s v="P010"/>
    <n v="6"/>
    <n v="0.12"/>
    <n v="17952"/>
    <n v="13200"/>
    <x v="14"/>
    <x v="3"/>
    <s v="Completed"/>
    <x v="10"/>
    <x v="3"/>
    <x v="13"/>
    <x v="0"/>
    <s v="Bronze"/>
    <s v="SSD 1TB"/>
    <s v="IT Equipment"/>
    <n v="2200"/>
    <n v="3400"/>
    <x v="14"/>
  </r>
  <r>
    <x v="15"/>
    <d v="2025-02-16T00:00:00"/>
    <x v="14"/>
    <s v="C035"/>
    <s v="P001"/>
    <n v="18"/>
    <n v="0.12"/>
    <n v="823680"/>
    <n v="756000"/>
    <x v="15"/>
    <x v="3"/>
    <s v="Completed"/>
    <x v="14"/>
    <x v="3"/>
    <x v="14"/>
    <x v="0"/>
    <s v="Gold"/>
    <s v="Laptop Pro 14"/>
    <s v="IT Equipment"/>
    <n v="42000"/>
    <n v="52000"/>
    <x v="15"/>
  </r>
  <r>
    <x v="16"/>
    <d v="2025-03-26T00:00:00"/>
    <x v="15"/>
    <s v="C028"/>
    <s v="P002"/>
    <n v="10"/>
    <n v="0.05"/>
    <n v="361000"/>
    <n v="300000"/>
    <x v="16"/>
    <x v="1"/>
    <s v="Completed"/>
    <x v="15"/>
    <x v="5"/>
    <x v="15"/>
    <x v="2"/>
    <s v="Gold"/>
    <s v="Laptop Business 15"/>
    <s v="IT Equipment"/>
    <n v="30000"/>
    <n v="38000"/>
    <x v="16"/>
  </r>
  <r>
    <x v="17"/>
    <d v="2025-02-19T00:00:00"/>
    <x v="14"/>
    <s v="C023"/>
    <s v="P008"/>
    <n v="3"/>
    <n v="0.05"/>
    <n v="25650"/>
    <n v="19500"/>
    <x v="17"/>
    <x v="4"/>
    <s v="Completed"/>
    <x v="14"/>
    <x v="3"/>
    <x v="16"/>
    <x v="1"/>
    <s v="Bronze"/>
    <s v="Printer Laser"/>
    <s v="Office"/>
    <n v="6500"/>
    <n v="9000"/>
    <x v="17"/>
  </r>
  <r>
    <x v="18"/>
    <d v="2025-02-21T00:00:00"/>
    <x v="16"/>
    <s v="C017"/>
    <s v="P001"/>
    <n v="5"/>
    <n v="0"/>
    <n v="260000"/>
    <n v="210000"/>
    <x v="18"/>
    <x v="3"/>
    <s v="Pending"/>
    <x v="16"/>
    <x v="0"/>
    <x v="5"/>
    <x v="0"/>
    <s v="Gold"/>
    <s v="Laptop Pro 14"/>
    <s v="IT Equipment"/>
    <n v="42000"/>
    <n v="52000"/>
    <x v="18"/>
  </r>
  <r>
    <x v="19"/>
    <d v="2025-01-21T00:00:00"/>
    <x v="17"/>
    <s v="C015"/>
    <s v="P010"/>
    <n v="6"/>
    <n v="0.12"/>
    <n v="17952"/>
    <n v="13200"/>
    <x v="14"/>
    <x v="0"/>
    <s v="Unknow"/>
    <x v="17"/>
    <x v="4"/>
    <x v="17"/>
    <x v="2"/>
    <s v="Gold"/>
    <s v="SSD 1TB"/>
    <s v="IT Equipment"/>
    <n v="2200"/>
    <n v="3400"/>
    <x v="14"/>
  </r>
  <r>
    <x v="20"/>
    <d v="2025-02-13T00:00:00"/>
    <x v="18"/>
    <s v="C042"/>
    <s v="P015"/>
    <n v="9"/>
    <n v="0"/>
    <n v="43200"/>
    <n v="28800"/>
    <x v="10"/>
    <x v="2"/>
    <s v="Completed"/>
    <x v="18"/>
    <x v="2"/>
    <x v="12"/>
    <x v="2"/>
    <s v="Bronze"/>
    <s v="Router WiFi 6"/>
    <s v="IT Equipment"/>
    <n v="3200"/>
    <n v="4800"/>
    <x v="19"/>
  </r>
  <r>
    <x v="21"/>
    <d v="2025-04-20T00:00:00"/>
    <x v="19"/>
    <s v="C003"/>
    <s v="P002"/>
    <n v="14"/>
    <n v="0.1"/>
    <n v="478800"/>
    <n v="420000"/>
    <x v="19"/>
    <x v="4"/>
    <s v="Completed"/>
    <x v="19"/>
    <x v="3"/>
    <x v="18"/>
    <x v="0"/>
    <s v="Gold"/>
    <s v="Laptop Business 15"/>
    <s v="IT Equipment"/>
    <n v="30000"/>
    <n v="38000"/>
    <x v="20"/>
  </r>
  <r>
    <x v="22"/>
    <d v="2025-03-24T00:00:00"/>
    <x v="20"/>
    <s v="C043"/>
    <s v="P003"/>
    <n v="12"/>
    <n v="0"/>
    <n v="144000"/>
    <n v="102000"/>
    <x v="20"/>
    <x v="2"/>
    <s v="Completed"/>
    <x v="20"/>
    <x v="1"/>
    <x v="19"/>
    <x v="1"/>
    <s v="Silver"/>
    <s v="Monitor 27 Inch"/>
    <s v="IT Equipment"/>
    <n v="8500"/>
    <n v="12000"/>
    <x v="21"/>
  </r>
  <r>
    <x v="23"/>
    <d v="2025-06-27T00:00:00"/>
    <x v="21"/>
    <s v="C019"/>
    <s v="P019"/>
    <n v="8"/>
    <n v="0"/>
    <n v="28800"/>
    <n v="19200"/>
    <x v="1"/>
    <x v="2"/>
    <s v="Cancelled"/>
    <x v="21"/>
    <x v="0"/>
    <x v="20"/>
    <x v="1"/>
    <s v="Bronze"/>
    <s v="External HDD 2TB"/>
    <s v="IT Equipment"/>
    <n v="2400"/>
    <n v="3600"/>
    <x v="1"/>
  </r>
  <r>
    <x v="24"/>
    <d v="2025-01-12T00:00:00"/>
    <x v="22"/>
    <s v="C050"/>
    <s v="P015"/>
    <n v="6"/>
    <n v="0"/>
    <n v="28800"/>
    <n v="19200"/>
    <x v="1"/>
    <x v="1"/>
    <s v="Cancelled"/>
    <x v="22"/>
    <x v="0"/>
    <x v="21"/>
    <x v="0"/>
    <s v="Silver"/>
    <s v="Router WiFi 6"/>
    <s v="IT Equipment"/>
    <n v="3200"/>
    <n v="4800"/>
    <x v="1"/>
  </r>
  <r>
    <x v="25"/>
    <d v="2025-02-04T00:00:00"/>
    <x v="23"/>
    <s v="C026"/>
    <s v="P016"/>
    <n v="14"/>
    <n v="0.1"/>
    <n v="52920"/>
    <n v="39200"/>
    <x v="21"/>
    <x v="0"/>
    <s v="Completed"/>
    <x v="23"/>
    <x v="1"/>
    <x v="22"/>
    <x v="2"/>
    <s v="Bronze"/>
    <s v="UPS 1000VA"/>
    <s v="IT Equipment"/>
    <n v="2800"/>
    <n v="4200"/>
    <x v="22"/>
  </r>
  <r>
    <x v="26"/>
    <d v="2025-02-28T00:00:00"/>
    <x v="24"/>
    <s v="C042"/>
    <s v="P008"/>
    <n v="13"/>
    <n v="0"/>
    <n v="117000"/>
    <n v="84500"/>
    <x v="22"/>
    <x v="2"/>
    <s v="Completed"/>
    <x v="24"/>
    <x v="1"/>
    <x v="12"/>
    <x v="2"/>
    <s v="Bronze"/>
    <s v="Printer Laser"/>
    <s v="Office"/>
    <n v="6500"/>
    <n v="9000"/>
    <x v="23"/>
  </r>
  <r>
    <x v="27"/>
    <d v="2025-04-04T00:00:00"/>
    <x v="25"/>
    <s v="C012"/>
    <s v="P006"/>
    <n v="6"/>
    <n v="0"/>
    <n v="43200"/>
    <n v="28800"/>
    <x v="10"/>
    <x v="1"/>
    <s v="Completed"/>
    <x v="25"/>
    <x v="0"/>
    <x v="23"/>
    <x v="0"/>
    <s v="Bronze"/>
    <s v="Office Chair Ergo"/>
    <s v="Office"/>
    <n v="4800"/>
    <n v="7200"/>
    <x v="19"/>
  </r>
  <r>
    <x v="28"/>
    <d v="2025-01-13T00:00:00"/>
    <x v="26"/>
    <s v="C018"/>
    <s v="P001"/>
    <n v="2"/>
    <n v="0.08"/>
    <n v="95680"/>
    <n v="84000"/>
    <x v="23"/>
    <x v="0"/>
    <s v="Completed"/>
    <x v="26"/>
    <x v="0"/>
    <x v="0"/>
    <x v="0"/>
    <s v="Bronze"/>
    <s v="Laptop Pro 14"/>
    <s v="IT Equipment"/>
    <n v="42000"/>
    <n v="52000"/>
    <x v="24"/>
  </r>
  <r>
    <x v="29"/>
    <d v="2025-05-21T00:00:00"/>
    <x v="27"/>
    <s v="C043"/>
    <s v="P015"/>
    <n v="13"/>
    <n v="0"/>
    <n v="62400"/>
    <n v="41600"/>
    <x v="11"/>
    <x v="2"/>
    <s v="Completed"/>
    <x v="27"/>
    <x v="6"/>
    <x v="19"/>
    <x v="1"/>
    <s v="Silver"/>
    <s v="Router WiFi 6"/>
    <s v="IT Equipment"/>
    <n v="3200"/>
    <n v="4800"/>
    <x v="25"/>
  </r>
  <r>
    <x v="30"/>
    <d v="2025-05-14T00:00:00"/>
    <x v="28"/>
    <s v="C041"/>
    <s v="P003"/>
    <n v="4"/>
    <n v="0.1"/>
    <n v="43200"/>
    <n v="34000"/>
    <x v="24"/>
    <x v="4"/>
    <s v="Completed"/>
    <x v="28"/>
    <x v="1"/>
    <x v="24"/>
    <x v="0"/>
    <s v="Gold"/>
    <s v="Monitor 27 Inch"/>
    <s v="IT Equipment"/>
    <n v="8500"/>
    <n v="12000"/>
    <x v="19"/>
  </r>
  <r>
    <x v="31"/>
    <d v="2025-01-30T00:00:00"/>
    <x v="11"/>
    <s v="C047"/>
    <s v="P012"/>
    <n v="4"/>
    <n v="0.03"/>
    <n v="9700"/>
    <n v="6400"/>
    <x v="25"/>
    <x v="3"/>
    <s v="Completed"/>
    <x v="11"/>
    <x v="3"/>
    <x v="25"/>
    <x v="0"/>
    <s v="Bronze"/>
    <s v="Headset Pro"/>
    <s v="Accessories"/>
    <n v="1600"/>
    <n v="2500"/>
    <x v="26"/>
  </r>
  <r>
    <x v="32"/>
    <d v="2025-06-30T00:00:00"/>
    <x v="29"/>
    <s v="C037"/>
    <s v="P007"/>
    <n v="7"/>
    <n v="0.03"/>
    <n v="71295"/>
    <n v="52500"/>
    <x v="26"/>
    <x v="4"/>
    <s v="Completed"/>
    <x v="29"/>
    <x v="3"/>
    <x v="26"/>
    <x v="2"/>
    <s v="Bronze"/>
    <s v="Standing Desk"/>
    <s v="Office"/>
    <n v="7500"/>
    <n v="10500"/>
    <x v="27"/>
  </r>
  <r>
    <x v="33"/>
    <d v="2025-03-02T00:00:00"/>
    <x v="30"/>
    <s v="C009"/>
    <s v="P004"/>
    <n v="16"/>
    <n v="0.03"/>
    <n v="43456"/>
    <n v="28800"/>
    <x v="27"/>
    <x v="3"/>
    <s v="Cancelled"/>
    <x v="30"/>
    <x v="3"/>
    <x v="27"/>
    <x v="2"/>
    <s v="Silver"/>
    <s v="Mechanical Keyboard"/>
    <s v="Accessories"/>
    <n v="1800"/>
    <n v="2800"/>
    <x v="28"/>
  </r>
  <r>
    <x v="34"/>
    <d v="2025-05-11T00:00:00"/>
    <x v="31"/>
    <s v="C035"/>
    <s v="P001"/>
    <n v="5"/>
    <n v="0"/>
    <n v="260000"/>
    <n v="210000"/>
    <x v="18"/>
    <x v="3"/>
    <s v="Completed"/>
    <x v="31"/>
    <x v="6"/>
    <x v="14"/>
    <x v="0"/>
    <s v="Gold"/>
    <s v="Laptop Pro 14"/>
    <s v="IT Equipment"/>
    <n v="42000"/>
    <n v="52000"/>
    <x v="18"/>
  </r>
  <r>
    <x v="35"/>
    <d v="2025-04-29T00:00:00"/>
    <x v="23"/>
    <s v="C003"/>
    <s v="P007"/>
    <n v="10"/>
    <n v="0.03"/>
    <n v="101850"/>
    <n v="75000"/>
    <x v="28"/>
    <x v="4"/>
    <s v="Completed"/>
    <x v="23"/>
    <x v="1"/>
    <x v="18"/>
    <x v="0"/>
    <s v="Gold"/>
    <s v="Standing Desk"/>
    <s v="Office"/>
    <n v="7500"/>
    <n v="10500"/>
    <x v="29"/>
  </r>
  <r>
    <x v="36"/>
    <d v="2025-01-30T00:00:00"/>
    <x v="9"/>
    <s v="C030"/>
    <s v="P016"/>
    <n v="11"/>
    <n v="0.05"/>
    <n v="43890"/>
    <n v="30800"/>
    <x v="29"/>
    <x v="2"/>
    <s v="Completed"/>
    <x v="9"/>
    <x v="3"/>
    <x v="28"/>
    <x v="1"/>
    <s v="Silver"/>
    <s v="UPS 1000VA"/>
    <s v="IT Equipment"/>
    <n v="2800"/>
    <n v="4200"/>
    <x v="30"/>
  </r>
  <r>
    <x v="37"/>
    <d v="2025-04-02T00:00:00"/>
    <x v="32"/>
    <s v="C034"/>
    <s v="P014"/>
    <n v="6"/>
    <n v="0.03"/>
    <n v="93120"/>
    <n v="69000"/>
    <x v="30"/>
    <x v="1"/>
    <s v="Completed"/>
    <x v="32"/>
    <x v="3"/>
    <x v="29"/>
    <x v="2"/>
    <s v="Bronze"/>
    <s v="Projector"/>
    <s v="Office"/>
    <n v="11500"/>
    <n v="16000"/>
    <x v="31"/>
  </r>
  <r>
    <x v="38"/>
    <d v="2025-01-30T00:00:00"/>
    <x v="20"/>
    <s v="C022"/>
    <s v="P018"/>
    <n v="11"/>
    <n v="0"/>
    <n v="39600"/>
    <n v="26400"/>
    <x v="31"/>
    <x v="2"/>
    <s v="Pending"/>
    <x v="20"/>
    <x v="1"/>
    <x v="30"/>
    <x v="1"/>
    <s v="Bronze"/>
    <s v="USB-C Dock"/>
    <s v="Accessories"/>
    <n v="2400"/>
    <n v="3600"/>
    <x v="32"/>
  </r>
  <r>
    <x v="39"/>
    <d v="2025-04-18T00:00:00"/>
    <x v="29"/>
    <s v="C014"/>
    <s v="P001"/>
    <n v="16"/>
    <n v="0.12"/>
    <n v="732160"/>
    <n v="672000"/>
    <x v="32"/>
    <x v="0"/>
    <s v="Completed"/>
    <x v="29"/>
    <x v="3"/>
    <x v="31"/>
    <x v="1"/>
    <s v="Gold"/>
    <s v="Laptop Pro 14"/>
    <s v="IT Equipment"/>
    <n v="42000"/>
    <n v="52000"/>
    <x v="33"/>
  </r>
  <r>
    <x v="40"/>
    <d v="2025-04-17T00:00:00"/>
    <x v="33"/>
    <s v="C024"/>
    <s v="P010"/>
    <n v="6"/>
    <n v="0"/>
    <n v="20400"/>
    <n v="13200"/>
    <x v="33"/>
    <x v="1"/>
    <s v="Pending"/>
    <x v="33"/>
    <x v="3"/>
    <x v="3"/>
    <x v="0"/>
    <s v="Bronze"/>
    <s v="SSD 1TB"/>
    <s v="IT Equipment"/>
    <n v="2200"/>
    <n v="3400"/>
    <x v="34"/>
  </r>
  <r>
    <x v="41"/>
    <d v="2025-04-02T00:00:00"/>
    <x v="34"/>
    <s v="C046"/>
    <s v="P007"/>
    <n v="13"/>
    <n v="0.12"/>
    <n v="120120"/>
    <n v="97500"/>
    <x v="34"/>
    <x v="0"/>
    <s v="Completed"/>
    <x v="34"/>
    <x v="0"/>
    <x v="32"/>
    <x v="1"/>
    <s v="Silver"/>
    <s v="Standing Desk"/>
    <s v="Office"/>
    <n v="7500"/>
    <n v="10500"/>
    <x v="35"/>
  </r>
  <r>
    <x v="42"/>
    <d v="2025-04-16T00:00:00"/>
    <x v="35"/>
    <s v="C049"/>
    <s v="P010"/>
    <n v="16"/>
    <n v="0"/>
    <n v="54400"/>
    <n v="35200"/>
    <x v="35"/>
    <x v="4"/>
    <s v="Completed"/>
    <x v="35"/>
    <x v="2"/>
    <x v="33"/>
    <x v="2"/>
    <s v="Silver"/>
    <s v="SSD 1TB"/>
    <s v="IT Equipment"/>
    <n v="2200"/>
    <n v="3400"/>
    <x v="36"/>
  </r>
  <r>
    <x v="43"/>
    <d v="2025-05-28T00:00:00"/>
    <x v="29"/>
    <s v="C024"/>
    <s v="P008"/>
    <n v="17"/>
    <n v="0.12"/>
    <n v="134640"/>
    <n v="110500"/>
    <x v="36"/>
    <x v="1"/>
    <s v="Completed"/>
    <x v="29"/>
    <x v="3"/>
    <x v="3"/>
    <x v="0"/>
    <s v="Bronze"/>
    <s v="Printer Laser"/>
    <s v="Office"/>
    <n v="6500"/>
    <n v="9000"/>
    <x v="37"/>
  </r>
  <r>
    <x v="44"/>
    <d v="2025-06-19T00:00:00"/>
    <x v="36"/>
    <s v="C034"/>
    <s v="P001"/>
    <n v="4"/>
    <n v="0.05"/>
    <n v="197600"/>
    <n v="168000"/>
    <x v="37"/>
    <x v="1"/>
    <s v="Pending"/>
    <x v="36"/>
    <x v="0"/>
    <x v="29"/>
    <x v="2"/>
    <s v="Bronze"/>
    <s v="Laptop Pro 14"/>
    <s v="IT Equipment"/>
    <n v="42000"/>
    <n v="52000"/>
    <x v="38"/>
  </r>
  <r>
    <x v="45"/>
    <d v="2025-01-14T00:00:00"/>
    <x v="37"/>
    <s v="C040"/>
    <s v="P008"/>
    <n v="18"/>
    <n v="0.08"/>
    <n v="149040"/>
    <n v="117000"/>
    <x v="38"/>
    <x v="2"/>
    <s v="Pending"/>
    <x v="37"/>
    <x v="0"/>
    <x v="2"/>
    <x v="1"/>
    <s v="Silver"/>
    <s v="Printer Laser"/>
    <s v="Office"/>
    <n v="6500"/>
    <n v="9000"/>
    <x v="39"/>
  </r>
  <r>
    <x v="46"/>
    <d v="2025-05-06T00:00:00"/>
    <x v="8"/>
    <s v="C006"/>
    <s v="P016"/>
    <n v="6"/>
    <n v="0"/>
    <n v="25200"/>
    <n v="16800"/>
    <x v="39"/>
    <x v="4"/>
    <s v="Cancelled"/>
    <x v="8"/>
    <x v="1"/>
    <x v="34"/>
    <x v="0"/>
    <s v="Silver"/>
    <s v="UPS 1000VA"/>
    <s v="IT Equipment"/>
    <n v="2800"/>
    <n v="4200"/>
    <x v="40"/>
  </r>
  <r>
    <x v="47"/>
    <d v="2025-03-02T00:00:00"/>
    <x v="38"/>
    <s v="C048"/>
    <s v="P017"/>
    <n v="13"/>
    <n v="0.05"/>
    <n v="80275"/>
    <n v="54600"/>
    <x v="40"/>
    <x v="4"/>
    <s v="Completed"/>
    <x v="38"/>
    <x v="3"/>
    <x v="35"/>
    <x v="1"/>
    <s v="Bronze"/>
    <s v="Office Desk"/>
    <s v="Office"/>
    <n v="4200"/>
    <n v="6500"/>
    <x v="41"/>
  </r>
  <r>
    <x v="48"/>
    <d v="2025-01-31T00:00:00"/>
    <x v="28"/>
    <s v="C029"/>
    <s v="P009"/>
    <n v="15"/>
    <n v="0.03"/>
    <n v="98940"/>
    <n v="67500"/>
    <x v="41"/>
    <x v="1"/>
    <s v="Pending"/>
    <x v="28"/>
    <x v="1"/>
    <x v="4"/>
    <x v="1"/>
    <s v="Silver"/>
    <s v="Network Switch"/>
    <s v="IT Equipment"/>
    <n v="4500"/>
    <n v="6800"/>
    <x v="42"/>
  </r>
  <r>
    <x v="49"/>
    <d v="2025-01-01T00:00:00"/>
    <x v="39"/>
    <s v="C027"/>
    <s v="P013"/>
    <n v="18"/>
    <n v="0.08"/>
    <n v="149040"/>
    <n v="117000"/>
    <x v="38"/>
    <x v="1"/>
    <s v="Completed"/>
    <x v="39"/>
    <x v="4"/>
    <x v="1"/>
    <x v="0"/>
    <s v="Gold"/>
    <s v="Tablet 10 Inch"/>
    <s v="IT Equipment"/>
    <n v="6500"/>
    <n v="9000"/>
    <x v="39"/>
  </r>
  <r>
    <x v="50"/>
    <d v="2025-06-17T00:00:00"/>
    <x v="40"/>
    <s v="C001"/>
    <s v="P013"/>
    <n v="18"/>
    <n v="0"/>
    <n v="162000"/>
    <n v="117000"/>
    <x v="42"/>
    <x v="0"/>
    <s v="Completed"/>
    <x v="40"/>
    <x v="0"/>
    <x v="36"/>
    <x v="1"/>
    <s v="Silver"/>
    <s v="Tablet 10 Inch"/>
    <s v="IT Equipment"/>
    <n v="6500"/>
    <n v="9000"/>
    <x v="43"/>
  </r>
  <r>
    <x v="51"/>
    <d v="2025-05-24T00:00:00"/>
    <x v="41"/>
    <s v="C030"/>
    <s v="P005"/>
    <n v="15"/>
    <n v="0.03"/>
    <n v="16005"/>
    <n v="9750"/>
    <x v="43"/>
    <x v="2"/>
    <s v="Completed"/>
    <x v="41"/>
    <x v="5"/>
    <x v="28"/>
    <x v="1"/>
    <s v="Silver"/>
    <s v="Wireless Mouse"/>
    <s v="Accessories"/>
    <n v="650"/>
    <n v="1100"/>
    <x v="44"/>
  </r>
  <r>
    <x v="52"/>
    <d v="2025-06-18T00:00:00"/>
    <x v="42"/>
    <s v="C031"/>
    <s v="P018"/>
    <n v="4"/>
    <n v="0"/>
    <n v="14400"/>
    <n v="9600"/>
    <x v="44"/>
    <x v="3"/>
    <s v="Completed"/>
    <x v="42"/>
    <x v="3"/>
    <x v="9"/>
    <x v="0"/>
    <s v="Bronze"/>
    <s v="USB-C Dock"/>
    <s v="Accessories"/>
    <n v="2400"/>
    <n v="3600"/>
    <x v="45"/>
  </r>
  <r>
    <x v="53"/>
    <d v="2025-01-28T00:00:00"/>
    <x v="43"/>
    <s v="C049"/>
    <s v="P015"/>
    <n v="12"/>
    <n v="0.1"/>
    <n v="51840"/>
    <n v="38400"/>
    <x v="45"/>
    <x v="4"/>
    <s v="Pending"/>
    <x v="43"/>
    <x v="0"/>
    <x v="33"/>
    <x v="2"/>
    <s v="Silver"/>
    <s v="Router WiFi 6"/>
    <s v="IT Equipment"/>
    <n v="3200"/>
    <n v="4800"/>
    <x v="46"/>
  </r>
  <r>
    <x v="54"/>
    <d v="2025-01-31T00:00:00"/>
    <x v="44"/>
    <s v="C020"/>
    <s v="P012"/>
    <n v="7"/>
    <n v="0"/>
    <n v="17500"/>
    <n v="11200"/>
    <x v="46"/>
    <x v="4"/>
    <s v="Completed"/>
    <x v="44"/>
    <x v="0"/>
    <x v="37"/>
    <x v="2"/>
    <s v="Silver"/>
    <s v="Headset Pro"/>
    <s v="Accessories"/>
    <n v="1600"/>
    <n v="2500"/>
    <x v="47"/>
  </r>
  <r>
    <x v="55"/>
    <d v="2025-04-17T00:00:00"/>
    <x v="37"/>
    <s v="C028"/>
    <s v="P009"/>
    <n v="4"/>
    <n v="0.12"/>
    <n v="23936"/>
    <n v="18000"/>
    <x v="47"/>
    <x v="1"/>
    <s v="Completed"/>
    <x v="37"/>
    <x v="0"/>
    <x v="15"/>
    <x v="2"/>
    <s v="Gold"/>
    <s v="Network Switch"/>
    <s v="IT Equipment"/>
    <n v="4500"/>
    <n v="6800"/>
    <x v="48"/>
  </r>
  <r>
    <x v="56"/>
    <d v="2025-06-18T00:00:00"/>
    <x v="43"/>
    <s v="C034"/>
    <s v="P011"/>
    <n v="15"/>
    <n v="0.05"/>
    <n v="27075"/>
    <n v="18000"/>
    <x v="48"/>
    <x v="1"/>
    <s v="Completed"/>
    <x v="43"/>
    <x v="0"/>
    <x v="29"/>
    <x v="2"/>
    <s v="Bronze"/>
    <s v="Webcam HD"/>
    <s v="Accessories"/>
    <n v="1200"/>
    <n v="1900"/>
    <x v="49"/>
  </r>
  <r>
    <x v="57"/>
    <d v="2025-04-21T00:00:00"/>
    <x v="45"/>
    <s v="C049"/>
    <s v="P020"/>
    <n v="2"/>
    <n v="0.08"/>
    <n v="9568"/>
    <n v="7000"/>
    <x v="49"/>
    <x v="4"/>
    <s v="Completed"/>
    <x v="45"/>
    <x v="4"/>
    <x v="33"/>
    <x v="2"/>
    <s v="Silver"/>
    <s v="Barcode Scanner"/>
    <s v="Operations"/>
    <n v="3500"/>
    <n v="5200"/>
    <x v="50"/>
  </r>
  <r>
    <x v="58"/>
    <d v="2025-02-02T00:00:00"/>
    <x v="21"/>
    <s v="C025"/>
    <s v="P017"/>
    <n v="6"/>
    <n v="0.1"/>
    <n v="35100"/>
    <n v="25200"/>
    <x v="50"/>
    <x v="4"/>
    <s v="Completed"/>
    <x v="21"/>
    <x v="0"/>
    <x v="38"/>
    <x v="1"/>
    <s v="Silver"/>
    <s v="Office Desk"/>
    <s v="Office"/>
    <n v="4200"/>
    <n v="6500"/>
    <x v="51"/>
  </r>
  <r>
    <x v="59"/>
    <d v="2025-06-05T00:00:00"/>
    <x v="46"/>
    <s v="C025"/>
    <s v="P012"/>
    <n v="13"/>
    <n v="0.05"/>
    <n v="30875"/>
    <n v="20800"/>
    <x v="51"/>
    <x v="4"/>
    <s v="Completed"/>
    <x v="46"/>
    <x v="3"/>
    <x v="38"/>
    <x v="1"/>
    <s v="Silver"/>
    <s v="Headset Pro"/>
    <s v="Accessories"/>
    <n v="1600"/>
    <n v="2500"/>
    <x v="52"/>
  </r>
  <r>
    <x v="60"/>
    <d v="2025-02-04T00:00:00"/>
    <x v="47"/>
    <s v="C023"/>
    <s v="P018"/>
    <n v="15"/>
    <n v="0.12"/>
    <n v="47520"/>
    <n v="36000"/>
    <x v="52"/>
    <x v="4"/>
    <s v="Cancelled"/>
    <x v="47"/>
    <x v="6"/>
    <x v="16"/>
    <x v="1"/>
    <s v="Bronze"/>
    <s v="USB-C Dock"/>
    <s v="Accessories"/>
    <n v="2400"/>
    <n v="3600"/>
    <x v="53"/>
  </r>
  <r>
    <x v="61"/>
    <d v="2025-03-22T00:00:00"/>
    <x v="24"/>
    <s v="C006"/>
    <s v="P014"/>
    <n v="18"/>
    <n v="0.12"/>
    <n v="253440"/>
    <n v="207000"/>
    <x v="53"/>
    <x v="4"/>
    <s v="Completed"/>
    <x v="24"/>
    <x v="1"/>
    <x v="34"/>
    <x v="0"/>
    <s v="Silver"/>
    <s v="Projector"/>
    <s v="Office"/>
    <n v="11500"/>
    <n v="16000"/>
    <x v="54"/>
  </r>
  <r>
    <x v="62"/>
    <d v="2025-03-30T00:00:00"/>
    <x v="48"/>
    <s v="C040"/>
    <s v="P015"/>
    <n v="10"/>
    <n v="0.1"/>
    <n v="43200"/>
    <n v="32000"/>
    <x v="54"/>
    <x v="2"/>
    <s v="Completed"/>
    <x v="48"/>
    <x v="5"/>
    <x v="2"/>
    <x v="1"/>
    <s v="Silver"/>
    <s v="Router WiFi 6"/>
    <s v="IT Equipment"/>
    <n v="3200"/>
    <n v="4800"/>
    <x v="19"/>
  </r>
  <r>
    <x v="63"/>
    <d v="2025-01-30T00:00:00"/>
    <x v="49"/>
    <s v="C016"/>
    <s v="P004"/>
    <n v="11"/>
    <n v="0.1"/>
    <n v="27720"/>
    <n v="19800"/>
    <x v="55"/>
    <x v="3"/>
    <s v="Pending"/>
    <x v="49"/>
    <x v="3"/>
    <x v="39"/>
    <x v="2"/>
    <s v="Gold"/>
    <s v="Mechanical Keyboard"/>
    <s v="Accessories"/>
    <n v="1800"/>
    <n v="2800"/>
    <x v="55"/>
  </r>
  <r>
    <x v="64"/>
    <d v="2025-04-19T00:00:00"/>
    <x v="50"/>
    <s v="C029"/>
    <s v="P014"/>
    <n v="18"/>
    <n v="0.03"/>
    <n v="279360"/>
    <n v="207000"/>
    <x v="56"/>
    <x v="1"/>
    <s v="Completed"/>
    <x v="50"/>
    <x v="3"/>
    <x v="4"/>
    <x v="1"/>
    <s v="Silver"/>
    <s v="Projector"/>
    <s v="Office"/>
    <n v="11500"/>
    <n v="16000"/>
    <x v="56"/>
  </r>
  <r>
    <x v="65"/>
    <d v="2025-03-10T00:00:00"/>
    <x v="51"/>
    <s v="C006"/>
    <s v="P013"/>
    <n v="2"/>
    <n v="0"/>
    <n v="18000"/>
    <n v="13000"/>
    <x v="57"/>
    <x v="4"/>
    <s v="Completed"/>
    <x v="51"/>
    <x v="4"/>
    <x v="34"/>
    <x v="0"/>
    <s v="Silver"/>
    <s v="Tablet 10 Inch"/>
    <s v="IT Equipment"/>
    <n v="6500"/>
    <n v="9000"/>
    <x v="57"/>
  </r>
  <r>
    <x v="66"/>
    <d v="2025-03-17T00:00:00"/>
    <x v="52"/>
    <s v="C037"/>
    <s v="P008"/>
    <n v="2"/>
    <n v="0.1"/>
    <n v="16200"/>
    <n v="13000"/>
    <x v="58"/>
    <x v="4"/>
    <s v="Pending"/>
    <x v="52"/>
    <x v="3"/>
    <x v="26"/>
    <x v="2"/>
    <s v="Bronze"/>
    <s v="Printer Laser"/>
    <s v="Office"/>
    <n v="6500"/>
    <n v="9000"/>
    <x v="58"/>
  </r>
  <r>
    <x v="67"/>
    <d v="2025-02-27T00:00:00"/>
    <x v="23"/>
    <s v="C004"/>
    <s v="P017"/>
    <n v="18"/>
    <n v="0.12"/>
    <n v="102960"/>
    <n v="75600"/>
    <x v="59"/>
    <x v="2"/>
    <s v="Completed"/>
    <x v="23"/>
    <x v="1"/>
    <x v="40"/>
    <x v="0"/>
    <s v="Bronze"/>
    <s v="Office Desk"/>
    <s v="Office"/>
    <n v="4200"/>
    <n v="6500"/>
    <x v="59"/>
  </r>
  <r>
    <x v="68"/>
    <d v="2025-04-10T00:00:00"/>
    <x v="19"/>
    <s v="C030"/>
    <s v="P020"/>
    <n v="2"/>
    <n v="0.05"/>
    <n v="9880"/>
    <n v="7000"/>
    <x v="60"/>
    <x v="2"/>
    <s v="Cancelled"/>
    <x v="19"/>
    <x v="3"/>
    <x v="28"/>
    <x v="1"/>
    <s v="Silver"/>
    <s v="Barcode Scanner"/>
    <s v="Operations"/>
    <n v="3500"/>
    <n v="5200"/>
    <x v="60"/>
  </r>
  <r>
    <x v="69"/>
    <d v="2025-06-08T00:00:00"/>
    <x v="53"/>
    <s v="C038"/>
    <s v="P001"/>
    <n v="9"/>
    <n v="0"/>
    <n v="468000"/>
    <n v="378000"/>
    <x v="61"/>
    <x v="2"/>
    <s v="Completed"/>
    <x v="53"/>
    <x v="0"/>
    <x v="41"/>
    <x v="1"/>
    <s v="Silver"/>
    <s v="Laptop Pro 14"/>
    <s v="IT Equipment"/>
    <n v="42000"/>
    <n v="52000"/>
    <x v="61"/>
  </r>
  <r>
    <x v="70"/>
    <d v="2025-05-31T00:00:00"/>
    <x v="54"/>
    <s v="C044"/>
    <s v="P018"/>
    <n v="12"/>
    <n v="0.12"/>
    <n v="38016"/>
    <n v="28800"/>
    <x v="62"/>
    <x v="3"/>
    <s v="Completed"/>
    <x v="54"/>
    <x v="6"/>
    <x v="42"/>
    <x v="0"/>
    <s v="Bronze"/>
    <s v="USB-C Dock"/>
    <s v="Accessories"/>
    <n v="2400"/>
    <n v="3600"/>
    <x v="62"/>
  </r>
  <r>
    <x v="71"/>
    <d v="2025-01-20T00:00:00"/>
    <x v="55"/>
    <s v="C039"/>
    <s v="P015"/>
    <n v="6"/>
    <n v="0.1"/>
    <n v="25920"/>
    <n v="19200"/>
    <x v="63"/>
    <x v="2"/>
    <s v="Pending"/>
    <x v="55"/>
    <x v="5"/>
    <x v="11"/>
    <x v="2"/>
    <s v="Silver"/>
    <s v="Router WiFi 6"/>
    <s v="IT Equipment"/>
    <n v="3200"/>
    <n v="4800"/>
    <x v="63"/>
  </r>
  <r>
    <x v="72"/>
    <d v="2025-03-09T00:00:00"/>
    <x v="40"/>
    <s v="C015"/>
    <s v="P004"/>
    <n v="9"/>
    <n v="0.08"/>
    <n v="23184"/>
    <n v="16200"/>
    <x v="64"/>
    <x v="0"/>
    <s v="Completed"/>
    <x v="40"/>
    <x v="0"/>
    <x v="17"/>
    <x v="2"/>
    <s v="Gold"/>
    <s v="Mechanical Keyboard"/>
    <s v="Accessories"/>
    <n v="1800"/>
    <n v="2800"/>
    <x v="64"/>
  </r>
  <r>
    <x v="73"/>
    <d v="2025-02-09T00:00:00"/>
    <x v="56"/>
    <s v="C003"/>
    <s v="P015"/>
    <n v="5"/>
    <n v="0"/>
    <n v="24000"/>
    <n v="16000"/>
    <x v="65"/>
    <x v="4"/>
    <s v="Cancelled"/>
    <x v="56"/>
    <x v="0"/>
    <x v="18"/>
    <x v="0"/>
    <s v="Gold"/>
    <s v="Router WiFi 6"/>
    <s v="IT Equipment"/>
    <n v="3200"/>
    <n v="4800"/>
    <x v="65"/>
  </r>
  <r>
    <x v="74"/>
    <d v="2025-05-27T00:00:00"/>
    <x v="52"/>
    <s v="C032"/>
    <s v="P006"/>
    <n v="10"/>
    <n v="0.05"/>
    <n v="68400"/>
    <n v="48000"/>
    <x v="66"/>
    <x v="3"/>
    <s v="Cancelled"/>
    <x v="52"/>
    <x v="3"/>
    <x v="6"/>
    <x v="0"/>
    <s v="Gold"/>
    <s v="Office Chair Ergo"/>
    <s v="Office"/>
    <n v="4800"/>
    <n v="7200"/>
    <x v="66"/>
  </r>
  <r>
    <x v="75"/>
    <d v="2025-01-18T00:00:00"/>
    <x v="57"/>
    <s v="C030"/>
    <s v="P006"/>
    <n v="6"/>
    <n v="0.08"/>
    <n v="39744"/>
    <n v="28800"/>
    <x v="67"/>
    <x v="2"/>
    <s v="Pending"/>
    <x v="57"/>
    <x v="3"/>
    <x v="28"/>
    <x v="1"/>
    <s v="Silver"/>
    <s v="Office Chair Ergo"/>
    <s v="Office"/>
    <n v="4800"/>
    <n v="7200"/>
    <x v="67"/>
  </r>
  <r>
    <x v="76"/>
    <d v="2025-06-19T00:00:00"/>
    <x v="34"/>
    <s v="C009"/>
    <s v="P003"/>
    <n v="8"/>
    <n v="0"/>
    <n v="96000"/>
    <n v="68000"/>
    <x v="68"/>
    <x v="3"/>
    <s v="Cancelled"/>
    <x v="34"/>
    <x v="0"/>
    <x v="27"/>
    <x v="2"/>
    <s v="Silver"/>
    <s v="Monitor 27 Inch"/>
    <s v="IT Equipment"/>
    <n v="8500"/>
    <n v="12000"/>
    <x v="68"/>
  </r>
  <r>
    <x v="77"/>
    <d v="2025-06-16T00:00:00"/>
    <x v="33"/>
    <s v="C042"/>
    <s v="P009"/>
    <n v="18"/>
    <n v="0.12"/>
    <n v="107712"/>
    <n v="81000"/>
    <x v="69"/>
    <x v="2"/>
    <s v="Cancelled"/>
    <x v="33"/>
    <x v="3"/>
    <x v="12"/>
    <x v="2"/>
    <s v="Bronze"/>
    <s v="Network Switch"/>
    <s v="IT Equipment"/>
    <n v="4500"/>
    <n v="6800"/>
    <x v="69"/>
  </r>
  <r>
    <x v="78"/>
    <d v="2025-06-24T00:00:00"/>
    <x v="27"/>
    <s v="C023"/>
    <s v="P019"/>
    <n v="8"/>
    <n v="0"/>
    <n v="28800"/>
    <n v="19200"/>
    <x v="1"/>
    <x v="4"/>
    <s v="Completed"/>
    <x v="27"/>
    <x v="6"/>
    <x v="16"/>
    <x v="1"/>
    <s v="Bronze"/>
    <s v="External HDD 2TB"/>
    <s v="IT Equipment"/>
    <n v="2400"/>
    <n v="3600"/>
    <x v="1"/>
  </r>
  <r>
    <x v="79"/>
    <d v="2025-03-14T00:00:00"/>
    <x v="58"/>
    <s v="C032"/>
    <s v="P010"/>
    <n v="18"/>
    <n v="0.1"/>
    <n v="55080"/>
    <n v="39600"/>
    <x v="70"/>
    <x v="3"/>
    <s v="Cancelled"/>
    <x v="58"/>
    <x v="4"/>
    <x v="6"/>
    <x v="0"/>
    <s v="Gold"/>
    <s v="SSD 1TB"/>
    <s v="IT Equipment"/>
    <n v="2200"/>
    <n v="3400"/>
    <x v="70"/>
  </r>
  <r>
    <x v="80"/>
    <d v="2025-01-12T00:00:00"/>
    <x v="52"/>
    <s v="C022"/>
    <s v="P016"/>
    <n v="15"/>
    <n v="0.05"/>
    <n v="59850"/>
    <n v="42000"/>
    <x v="71"/>
    <x v="2"/>
    <s v="Completed"/>
    <x v="52"/>
    <x v="3"/>
    <x v="30"/>
    <x v="1"/>
    <s v="Bronze"/>
    <s v="UPS 1000VA"/>
    <s v="IT Equipment"/>
    <n v="2800"/>
    <n v="4200"/>
    <x v="71"/>
  </r>
  <r>
    <x v="81"/>
    <d v="2025-05-18T00:00:00"/>
    <x v="20"/>
    <s v="C009"/>
    <s v="P013"/>
    <n v="6"/>
    <n v="0.12"/>
    <n v="47520"/>
    <n v="39000"/>
    <x v="72"/>
    <x v="3"/>
    <s v="Completed"/>
    <x v="20"/>
    <x v="1"/>
    <x v="27"/>
    <x v="2"/>
    <s v="Silver"/>
    <s v="Tablet 10 Inch"/>
    <s v="IT Equipment"/>
    <n v="6500"/>
    <n v="9000"/>
    <x v="53"/>
  </r>
  <r>
    <x v="82"/>
    <d v="2025-01-27T00:00:00"/>
    <x v="43"/>
    <s v="C050"/>
    <s v="P006"/>
    <n v="14"/>
    <n v="0.12"/>
    <n v="88704"/>
    <n v="67200"/>
    <x v="73"/>
    <x v="1"/>
    <s v="Pending"/>
    <x v="43"/>
    <x v="0"/>
    <x v="21"/>
    <x v="0"/>
    <s v="Silver"/>
    <s v="Office Chair Ergo"/>
    <s v="Office"/>
    <n v="4800"/>
    <n v="7200"/>
    <x v="72"/>
  </r>
  <r>
    <x v="83"/>
    <d v="2025-06-25T00:00:00"/>
    <x v="59"/>
    <s v="C043"/>
    <s v="P004"/>
    <n v="3"/>
    <n v="0.1"/>
    <n v="7560"/>
    <n v="5400"/>
    <x v="74"/>
    <x v="2"/>
    <s v="Completed"/>
    <x v="59"/>
    <x v="4"/>
    <x v="19"/>
    <x v="1"/>
    <s v="Silver"/>
    <s v="Mechanical Keyboard"/>
    <s v="Accessories"/>
    <n v="1800"/>
    <n v="2800"/>
    <x v="73"/>
  </r>
  <r>
    <x v="84"/>
    <d v="2025-03-06T00:00:00"/>
    <x v="54"/>
    <s v="C017"/>
    <s v="P018"/>
    <n v="6"/>
    <n v="0.12"/>
    <n v="19008"/>
    <n v="14400"/>
    <x v="75"/>
    <x v="3"/>
    <s v="Completed"/>
    <x v="54"/>
    <x v="6"/>
    <x v="5"/>
    <x v="0"/>
    <s v="Gold"/>
    <s v="USB-C Dock"/>
    <s v="Accessories"/>
    <n v="2400"/>
    <n v="3600"/>
    <x v="74"/>
  </r>
  <r>
    <x v="85"/>
    <d v="2025-04-14T00:00:00"/>
    <x v="8"/>
    <s v="C033"/>
    <s v="P010"/>
    <n v="15"/>
    <n v="0.1"/>
    <n v="45900"/>
    <n v="33000"/>
    <x v="76"/>
    <x v="2"/>
    <s v="Unknow"/>
    <x v="8"/>
    <x v="1"/>
    <x v="43"/>
    <x v="2"/>
    <s v="Silver"/>
    <s v="SSD 1TB"/>
    <s v="IT Equipment"/>
    <n v="2200"/>
    <n v="3400"/>
    <x v="75"/>
  </r>
  <r>
    <x v="86"/>
    <d v="2025-05-30T00:00:00"/>
    <x v="29"/>
    <s v="C008"/>
    <s v="P017"/>
    <n v="3"/>
    <n v="0.12"/>
    <n v="17160"/>
    <n v="12600"/>
    <x v="77"/>
    <x v="3"/>
    <s v="Cancelled"/>
    <x v="29"/>
    <x v="3"/>
    <x v="13"/>
    <x v="0"/>
    <s v="Bronze"/>
    <s v="Office Desk"/>
    <s v="Office"/>
    <n v="4200"/>
    <n v="6500"/>
    <x v="76"/>
  </r>
  <r>
    <x v="87"/>
    <d v="2025-01-23T00:00:00"/>
    <x v="60"/>
    <s v="C005"/>
    <s v="P017"/>
    <n v="10"/>
    <n v="0.08"/>
    <n v="59800"/>
    <n v="42000"/>
    <x v="78"/>
    <x v="1"/>
    <s v="Completed"/>
    <x v="60"/>
    <x v="2"/>
    <x v="44"/>
    <x v="1"/>
    <s v="Gold"/>
    <s v="Office Desk"/>
    <s v="Office"/>
    <n v="4200"/>
    <n v="6500"/>
    <x v="77"/>
  </r>
  <r>
    <x v="88"/>
    <d v="2025-02-04T00:00:00"/>
    <x v="17"/>
    <s v="C037"/>
    <s v="P019"/>
    <n v="18"/>
    <n v="0"/>
    <n v="64800"/>
    <n v="43200"/>
    <x v="79"/>
    <x v="4"/>
    <s v="Completed"/>
    <x v="17"/>
    <x v="4"/>
    <x v="26"/>
    <x v="2"/>
    <s v="Bronze"/>
    <s v="External HDD 2TB"/>
    <s v="IT Equipment"/>
    <n v="2400"/>
    <n v="3600"/>
    <x v="13"/>
  </r>
  <r>
    <x v="89"/>
    <d v="2025-06-23T00:00:00"/>
    <x v="61"/>
    <s v="C003"/>
    <s v="P017"/>
    <n v="5"/>
    <n v="0.03"/>
    <n v="31525"/>
    <n v="21000"/>
    <x v="80"/>
    <x v="4"/>
    <s v="Completed"/>
    <x v="61"/>
    <x v="3"/>
    <x v="18"/>
    <x v="0"/>
    <s v="Gold"/>
    <s v="Office Desk"/>
    <s v="Office"/>
    <n v="4200"/>
    <n v="6500"/>
    <x v="78"/>
  </r>
  <r>
    <x v="90"/>
    <d v="2025-05-23T00:00:00"/>
    <x v="35"/>
    <s v="C046"/>
    <s v="P004"/>
    <n v="1"/>
    <n v="0.08"/>
    <n v="2576"/>
    <n v="1800"/>
    <x v="81"/>
    <x v="0"/>
    <s v="Pending"/>
    <x v="35"/>
    <x v="2"/>
    <x v="32"/>
    <x v="1"/>
    <s v="Silver"/>
    <s v="Mechanical Keyboard"/>
    <s v="Accessories"/>
    <n v="1800"/>
    <n v="2800"/>
    <x v="79"/>
  </r>
  <r>
    <x v="91"/>
    <d v="2025-02-23T00:00:00"/>
    <x v="21"/>
    <s v="C049"/>
    <s v="P015"/>
    <n v="3"/>
    <n v="0.03"/>
    <n v="13968"/>
    <n v="9600"/>
    <x v="82"/>
    <x v="4"/>
    <s v="Pending"/>
    <x v="21"/>
    <x v="0"/>
    <x v="33"/>
    <x v="2"/>
    <s v="Silver"/>
    <s v="Router WiFi 6"/>
    <s v="IT Equipment"/>
    <n v="3200"/>
    <n v="4800"/>
    <x v="80"/>
  </r>
  <r>
    <x v="92"/>
    <d v="2025-02-11T00:00:00"/>
    <x v="41"/>
    <s v="C042"/>
    <s v="P005"/>
    <n v="17"/>
    <n v="0"/>
    <n v="18700"/>
    <n v="11050"/>
    <x v="83"/>
    <x v="2"/>
    <s v="Completed"/>
    <x v="41"/>
    <x v="5"/>
    <x v="12"/>
    <x v="2"/>
    <s v="Bronze"/>
    <s v="Wireless Mouse"/>
    <s v="Accessories"/>
    <n v="650"/>
    <n v="1100"/>
    <x v="81"/>
  </r>
  <r>
    <x v="93"/>
    <d v="2025-05-21T00:00:00"/>
    <x v="44"/>
    <s v="C004"/>
    <s v="P013"/>
    <n v="2"/>
    <n v="0.12"/>
    <n v="15840"/>
    <n v="13000"/>
    <x v="84"/>
    <x v="2"/>
    <s v="Completed"/>
    <x v="44"/>
    <x v="0"/>
    <x v="40"/>
    <x v="0"/>
    <s v="Bronze"/>
    <s v="Tablet 10 Inch"/>
    <s v="IT Equipment"/>
    <n v="6500"/>
    <n v="9000"/>
    <x v="0"/>
  </r>
  <r>
    <x v="94"/>
    <d v="2025-05-29T00:00:00"/>
    <x v="44"/>
    <s v="C036"/>
    <s v="P001"/>
    <n v="7"/>
    <n v="0.1"/>
    <n v="327600"/>
    <n v="294000"/>
    <x v="85"/>
    <x v="2"/>
    <s v="Completed"/>
    <x v="44"/>
    <x v="0"/>
    <x v="45"/>
    <x v="1"/>
    <s v="Bronze"/>
    <s v="Laptop Pro 14"/>
    <s v="IT Equipment"/>
    <n v="42000"/>
    <n v="52000"/>
    <x v="82"/>
  </r>
  <r>
    <x v="95"/>
    <d v="2025-03-23T00:00:00"/>
    <x v="62"/>
    <s v="C044"/>
    <s v="P008"/>
    <n v="3"/>
    <n v="0"/>
    <n v="27000"/>
    <n v="19500"/>
    <x v="86"/>
    <x v="3"/>
    <s v="Cancelled"/>
    <x v="62"/>
    <x v="4"/>
    <x v="42"/>
    <x v="0"/>
    <s v="Bronze"/>
    <s v="Printer Laser"/>
    <s v="Office"/>
    <n v="6500"/>
    <n v="9000"/>
    <x v="83"/>
  </r>
  <r>
    <x v="96"/>
    <d v="2025-03-22T00:00:00"/>
    <x v="63"/>
    <s v="C043"/>
    <s v="P013"/>
    <n v="12"/>
    <n v="0.12"/>
    <n v="95040"/>
    <n v="78000"/>
    <x v="87"/>
    <x v="2"/>
    <s v="Completed"/>
    <x v="63"/>
    <x v="2"/>
    <x v="19"/>
    <x v="1"/>
    <s v="Silver"/>
    <s v="Tablet 10 Inch"/>
    <s v="IT Equipment"/>
    <n v="6500"/>
    <n v="9000"/>
    <x v="84"/>
  </r>
  <r>
    <x v="97"/>
    <d v="2025-04-03T00:00:00"/>
    <x v="64"/>
    <s v="C042"/>
    <s v="P001"/>
    <n v="14"/>
    <n v="0.03"/>
    <n v="706160"/>
    <n v="588000"/>
    <x v="88"/>
    <x v="2"/>
    <s v="Pending"/>
    <x v="64"/>
    <x v="6"/>
    <x v="12"/>
    <x v="2"/>
    <s v="Bronze"/>
    <s v="Laptop Pro 14"/>
    <s v="IT Equipment"/>
    <n v="42000"/>
    <n v="52000"/>
    <x v="85"/>
  </r>
  <r>
    <x v="98"/>
    <d v="2025-05-22T00:00:00"/>
    <x v="38"/>
    <s v="C044"/>
    <s v="P015"/>
    <n v="10"/>
    <n v="0.05"/>
    <n v="45600"/>
    <n v="32000"/>
    <x v="89"/>
    <x v="3"/>
    <s v="Completed"/>
    <x v="38"/>
    <x v="3"/>
    <x v="42"/>
    <x v="0"/>
    <s v="Bronze"/>
    <s v="Router WiFi 6"/>
    <s v="IT Equipment"/>
    <n v="3200"/>
    <n v="4800"/>
    <x v="86"/>
  </r>
  <r>
    <x v="99"/>
    <d v="2025-02-20T00:00:00"/>
    <x v="65"/>
    <s v="C018"/>
    <s v="P006"/>
    <n v="5"/>
    <n v="0.08"/>
    <n v="33120"/>
    <n v="24000"/>
    <x v="90"/>
    <x v="0"/>
    <s v="Completed"/>
    <x v="65"/>
    <x v="0"/>
    <x v="0"/>
    <x v="0"/>
    <s v="Bronze"/>
    <s v="Office Chair Ergo"/>
    <s v="Office"/>
    <n v="4800"/>
    <n v="7200"/>
    <x v="87"/>
  </r>
  <r>
    <x v="100"/>
    <d v="2025-01-08T00:00:00"/>
    <x v="25"/>
    <s v="C009"/>
    <s v="P008"/>
    <n v="17"/>
    <n v="0.1"/>
    <n v="137700"/>
    <n v="110500"/>
    <x v="91"/>
    <x v="3"/>
    <s v="Completed"/>
    <x v="25"/>
    <x v="0"/>
    <x v="27"/>
    <x v="2"/>
    <s v="Silver"/>
    <s v="Printer Laser"/>
    <s v="Office"/>
    <n v="6500"/>
    <n v="9000"/>
    <x v="88"/>
  </r>
  <r>
    <x v="101"/>
    <d v="2025-05-20T00:00:00"/>
    <x v="29"/>
    <s v="C005"/>
    <s v="P003"/>
    <n v="18"/>
    <n v="0.03"/>
    <n v="209520"/>
    <n v="153000"/>
    <x v="92"/>
    <x v="1"/>
    <s v="Completed"/>
    <x v="29"/>
    <x v="3"/>
    <x v="44"/>
    <x v="1"/>
    <s v="Gold"/>
    <s v="Monitor 27 Inch"/>
    <s v="IT Equipment"/>
    <n v="8500"/>
    <n v="12000"/>
    <x v="89"/>
  </r>
  <r>
    <x v="102"/>
    <d v="2025-05-31T00:00:00"/>
    <x v="3"/>
    <s v="C018"/>
    <s v="P001"/>
    <n v="8"/>
    <n v="0.12"/>
    <n v="366080"/>
    <n v="336000"/>
    <x v="93"/>
    <x v="0"/>
    <s v="Cancelled"/>
    <x v="3"/>
    <x v="2"/>
    <x v="0"/>
    <x v="0"/>
    <s v="Bronze"/>
    <s v="Laptop Pro 14"/>
    <s v="IT Equipment"/>
    <n v="42000"/>
    <n v="52000"/>
    <x v="90"/>
  </r>
  <r>
    <x v="103"/>
    <d v="2025-01-03T00:00:00"/>
    <x v="33"/>
    <s v="C041"/>
    <s v="P002"/>
    <n v="12"/>
    <n v="0.08"/>
    <n v="419520"/>
    <n v="360000"/>
    <x v="94"/>
    <x v="4"/>
    <s v="Cancelled"/>
    <x v="33"/>
    <x v="3"/>
    <x v="24"/>
    <x v="0"/>
    <s v="Gold"/>
    <s v="Laptop Business 15"/>
    <s v="IT Equipment"/>
    <n v="30000"/>
    <n v="38000"/>
    <x v="91"/>
  </r>
  <r>
    <x v="104"/>
    <d v="2025-04-25T00:00:00"/>
    <x v="66"/>
    <s v="C025"/>
    <s v="P019"/>
    <n v="17"/>
    <n v="0"/>
    <n v="61200"/>
    <n v="40800"/>
    <x v="66"/>
    <x v="4"/>
    <s v="Completed"/>
    <x v="66"/>
    <x v="4"/>
    <x v="38"/>
    <x v="1"/>
    <s v="Silver"/>
    <s v="External HDD 2TB"/>
    <s v="IT Equipment"/>
    <n v="2400"/>
    <n v="3600"/>
    <x v="92"/>
  </r>
  <r>
    <x v="105"/>
    <d v="2025-01-11T00:00:00"/>
    <x v="27"/>
    <s v="C040"/>
    <s v="P011"/>
    <n v="16"/>
    <n v="0.03"/>
    <n v="29488"/>
    <n v="19200"/>
    <x v="95"/>
    <x v="2"/>
    <s v="Completed"/>
    <x v="27"/>
    <x v="6"/>
    <x v="2"/>
    <x v="1"/>
    <s v="Silver"/>
    <s v="Webcam HD"/>
    <s v="Accessories"/>
    <n v="1200"/>
    <n v="1900"/>
    <x v="93"/>
  </r>
  <r>
    <x v="106"/>
    <d v="2025-04-03T00:00:00"/>
    <x v="67"/>
    <s v="C039"/>
    <s v="P019"/>
    <n v="7"/>
    <n v="0.08"/>
    <n v="23184"/>
    <n v="16800"/>
    <x v="96"/>
    <x v="2"/>
    <s v="Completed"/>
    <x v="67"/>
    <x v="4"/>
    <x v="11"/>
    <x v="2"/>
    <s v="Silver"/>
    <s v="External HDD 2TB"/>
    <s v="IT Equipment"/>
    <n v="2400"/>
    <n v="3600"/>
    <x v="64"/>
  </r>
  <r>
    <x v="107"/>
    <d v="2025-06-30T00:00:00"/>
    <x v="32"/>
    <s v="C016"/>
    <s v="P003"/>
    <n v="11"/>
    <n v="0"/>
    <n v="132000"/>
    <n v="93500"/>
    <x v="97"/>
    <x v="3"/>
    <s v="Completed"/>
    <x v="32"/>
    <x v="3"/>
    <x v="39"/>
    <x v="2"/>
    <s v="Gold"/>
    <s v="Monitor 27 Inch"/>
    <s v="IT Equipment"/>
    <n v="8500"/>
    <n v="12000"/>
    <x v="94"/>
  </r>
  <r>
    <x v="108"/>
    <d v="2025-06-17T00:00:00"/>
    <x v="36"/>
    <s v="C017"/>
    <s v="P001"/>
    <n v="6"/>
    <n v="0.05"/>
    <n v="296400"/>
    <n v="252000"/>
    <x v="98"/>
    <x v="3"/>
    <s v="Completed"/>
    <x v="36"/>
    <x v="0"/>
    <x v="5"/>
    <x v="0"/>
    <s v="Gold"/>
    <s v="Laptop Pro 14"/>
    <s v="IT Equipment"/>
    <n v="42000"/>
    <n v="52000"/>
    <x v="95"/>
  </r>
  <r>
    <x v="109"/>
    <d v="2025-05-13T00:00:00"/>
    <x v="56"/>
    <s v="C024"/>
    <s v="P005"/>
    <n v="13"/>
    <n v="0"/>
    <n v="14300"/>
    <n v="8450"/>
    <x v="99"/>
    <x v="2"/>
    <s v="Pending"/>
    <x v="56"/>
    <x v="0"/>
    <x v="3"/>
    <x v="0"/>
    <s v="Bronze"/>
    <s v="Wireless Mouse"/>
    <s v="Accessories"/>
    <n v="650"/>
    <n v="1100"/>
    <x v="96"/>
  </r>
  <r>
    <x v="110"/>
    <d v="2025-02-05T00:00:00"/>
    <x v="21"/>
    <s v="C032"/>
    <s v="P006"/>
    <n v="1"/>
    <n v="0.08"/>
    <n v="6624"/>
    <n v="4800"/>
    <x v="100"/>
    <x v="3"/>
    <s v="Completed"/>
    <x v="21"/>
    <x v="0"/>
    <x v="6"/>
    <x v="0"/>
    <s v="Gold"/>
    <s v="Office Chair Ergo"/>
    <s v="Office"/>
    <n v="4800"/>
    <n v="7200"/>
    <x v="97"/>
  </r>
  <r>
    <x v="111"/>
    <d v="2025-04-03T00:00:00"/>
    <x v="7"/>
    <s v="C035"/>
    <s v="P014"/>
    <n v="6"/>
    <n v="0"/>
    <n v="96000"/>
    <n v="69000"/>
    <x v="101"/>
    <x v="3"/>
    <s v="Pending"/>
    <x v="7"/>
    <x v="3"/>
    <x v="14"/>
    <x v="0"/>
    <s v="Gold"/>
    <s v="Projector"/>
    <s v="Office"/>
    <n v="11500"/>
    <n v="16000"/>
    <x v="68"/>
  </r>
  <r>
    <x v="112"/>
    <d v="2025-06-22T00:00:00"/>
    <x v="32"/>
    <s v="C014"/>
    <s v="P009"/>
    <n v="4"/>
    <n v="0.05"/>
    <n v="25840"/>
    <n v="18000"/>
    <x v="102"/>
    <x v="0"/>
    <s v="Unknow"/>
    <x v="32"/>
    <x v="3"/>
    <x v="31"/>
    <x v="1"/>
    <s v="Gold"/>
    <s v="Network Switch"/>
    <s v="IT Equipment"/>
    <n v="4500"/>
    <n v="6800"/>
    <x v="98"/>
  </r>
  <r>
    <x v="113"/>
    <d v="2025-05-27T00:00:00"/>
    <x v="68"/>
    <s v="C014"/>
    <s v="P012"/>
    <n v="2"/>
    <n v="0"/>
    <n v="5000"/>
    <n v="3200"/>
    <x v="103"/>
    <x v="0"/>
    <s v="Cancelled"/>
    <x v="68"/>
    <x v="3"/>
    <x v="31"/>
    <x v="1"/>
    <s v="Gold"/>
    <s v="Headset Pro"/>
    <s v="Accessories"/>
    <n v="1600"/>
    <n v="2500"/>
    <x v="99"/>
  </r>
  <r>
    <x v="114"/>
    <d v="2025-02-16T00:00:00"/>
    <x v="36"/>
    <s v="C047"/>
    <s v="P008"/>
    <n v="6"/>
    <n v="0.03"/>
    <n v="52380"/>
    <n v="39000"/>
    <x v="104"/>
    <x v="3"/>
    <s v="Completed"/>
    <x v="36"/>
    <x v="0"/>
    <x v="25"/>
    <x v="0"/>
    <s v="Bronze"/>
    <s v="Printer Laser"/>
    <s v="Office"/>
    <n v="6500"/>
    <n v="9000"/>
    <x v="100"/>
  </r>
  <r>
    <x v="115"/>
    <d v="2025-02-25T00:00:00"/>
    <x v="64"/>
    <s v="C027"/>
    <s v="P013"/>
    <n v="10"/>
    <n v="0"/>
    <n v="90000"/>
    <n v="65000"/>
    <x v="105"/>
    <x v="1"/>
    <s v="Completed"/>
    <x v="64"/>
    <x v="6"/>
    <x v="1"/>
    <x v="0"/>
    <s v="Gold"/>
    <s v="Tablet 10 Inch"/>
    <s v="IT Equipment"/>
    <n v="6500"/>
    <n v="9000"/>
    <x v="101"/>
  </r>
  <r>
    <x v="116"/>
    <d v="2025-02-06T00:00:00"/>
    <x v="43"/>
    <s v="C005"/>
    <s v="P019"/>
    <n v="14"/>
    <n v="0.08"/>
    <n v="46368"/>
    <n v="33600"/>
    <x v="106"/>
    <x v="1"/>
    <s v="Cancelled"/>
    <x v="43"/>
    <x v="0"/>
    <x v="44"/>
    <x v="1"/>
    <s v="Gold"/>
    <s v="External HDD 2TB"/>
    <s v="IT Equipment"/>
    <n v="2400"/>
    <n v="3600"/>
    <x v="102"/>
  </r>
  <r>
    <x v="117"/>
    <d v="2025-06-02T00:00:00"/>
    <x v="67"/>
    <s v="C048"/>
    <s v="P005"/>
    <n v="11"/>
    <n v="0.05"/>
    <n v="11495"/>
    <n v="7150"/>
    <x v="107"/>
    <x v="4"/>
    <s v="Unknow"/>
    <x v="67"/>
    <x v="4"/>
    <x v="35"/>
    <x v="1"/>
    <s v="Bronze"/>
    <s v="Wireless Mouse"/>
    <s v="Accessories"/>
    <n v="650"/>
    <n v="1100"/>
    <x v="103"/>
  </r>
  <r>
    <x v="118"/>
    <d v="2025-05-10T00:00:00"/>
    <x v="53"/>
    <s v="C013"/>
    <s v="P001"/>
    <n v="17"/>
    <n v="0.12"/>
    <n v="777920"/>
    <n v="714000"/>
    <x v="108"/>
    <x v="0"/>
    <s v="Completed"/>
    <x v="53"/>
    <x v="0"/>
    <x v="46"/>
    <x v="0"/>
    <s v="Gold"/>
    <s v="Laptop Pro 14"/>
    <s v="IT Equipment"/>
    <n v="42000"/>
    <n v="52000"/>
    <x v="104"/>
  </r>
  <r>
    <x v="119"/>
    <d v="2025-05-17T00:00:00"/>
    <x v="69"/>
    <s v="C029"/>
    <s v="P003"/>
    <n v="2"/>
    <n v="0.12"/>
    <n v="21120"/>
    <n v="17000"/>
    <x v="109"/>
    <x v="1"/>
    <s v="Completed"/>
    <x v="69"/>
    <x v="1"/>
    <x v="4"/>
    <x v="1"/>
    <s v="Silver"/>
    <s v="Monitor 27 Inch"/>
    <s v="IT Equipment"/>
    <n v="8500"/>
    <n v="12000"/>
    <x v="105"/>
  </r>
  <r>
    <x v="120"/>
    <d v="2025-01-01T00:00:00"/>
    <x v="29"/>
    <s v="C028"/>
    <s v="P010"/>
    <n v="18"/>
    <n v="0.12"/>
    <n v="53856"/>
    <n v="39600"/>
    <x v="110"/>
    <x v="1"/>
    <s v="Cancelled"/>
    <x v="29"/>
    <x v="3"/>
    <x v="15"/>
    <x v="2"/>
    <s v="Gold"/>
    <s v="SSD 1TB"/>
    <s v="IT Equipment"/>
    <n v="2200"/>
    <n v="3400"/>
    <x v="106"/>
  </r>
  <r>
    <x v="121"/>
    <d v="2025-05-16T00:00:00"/>
    <x v="28"/>
    <s v="C016"/>
    <s v="P019"/>
    <n v="2"/>
    <n v="0.1"/>
    <n v="6480"/>
    <n v="4800"/>
    <x v="111"/>
    <x v="3"/>
    <s v="Pending"/>
    <x v="28"/>
    <x v="1"/>
    <x v="39"/>
    <x v="2"/>
    <s v="Gold"/>
    <s v="External HDD 2TB"/>
    <s v="IT Equipment"/>
    <n v="2400"/>
    <n v="3600"/>
    <x v="107"/>
  </r>
  <r>
    <x v="122"/>
    <d v="2025-02-04T00:00:00"/>
    <x v="27"/>
    <s v="C025"/>
    <s v="P001"/>
    <n v="4"/>
    <n v="0.05"/>
    <n v="197600"/>
    <n v="168000"/>
    <x v="37"/>
    <x v="4"/>
    <s v="Completed"/>
    <x v="27"/>
    <x v="6"/>
    <x v="38"/>
    <x v="1"/>
    <s v="Silver"/>
    <s v="Laptop Pro 14"/>
    <s v="IT Equipment"/>
    <n v="42000"/>
    <n v="52000"/>
    <x v="38"/>
  </r>
  <r>
    <x v="123"/>
    <d v="2025-03-07T00:00:00"/>
    <x v="70"/>
    <s v="C016"/>
    <s v="P002"/>
    <n v="18"/>
    <n v="0.05"/>
    <n v="649800"/>
    <n v="540000"/>
    <x v="112"/>
    <x v="3"/>
    <s v="Cancelled"/>
    <x v="70"/>
    <x v="3"/>
    <x v="39"/>
    <x v="2"/>
    <s v="Gold"/>
    <s v="Laptop Business 15"/>
    <s v="IT Equipment"/>
    <n v="30000"/>
    <n v="38000"/>
    <x v="108"/>
  </r>
  <r>
    <x v="124"/>
    <d v="2025-04-07T00:00:00"/>
    <x v="65"/>
    <s v="C045"/>
    <s v="P015"/>
    <n v="17"/>
    <n v="0"/>
    <n v="81600"/>
    <n v="54400"/>
    <x v="91"/>
    <x v="4"/>
    <s v="Completed"/>
    <x v="65"/>
    <x v="0"/>
    <x v="47"/>
    <x v="0"/>
    <s v="Gold"/>
    <s v="Router WiFi 6"/>
    <s v="IT Equipment"/>
    <n v="3200"/>
    <n v="4800"/>
    <x v="109"/>
  </r>
  <r>
    <x v="125"/>
    <d v="2025-05-30T00:00:00"/>
    <x v="19"/>
    <s v="C004"/>
    <s v="P012"/>
    <n v="14"/>
    <n v="0.1"/>
    <n v="31500"/>
    <n v="22400"/>
    <x v="113"/>
    <x v="2"/>
    <s v="Completed"/>
    <x v="19"/>
    <x v="3"/>
    <x v="40"/>
    <x v="0"/>
    <s v="Bronze"/>
    <s v="Headset Pro"/>
    <s v="Accessories"/>
    <n v="1600"/>
    <n v="2500"/>
    <x v="110"/>
  </r>
  <r>
    <x v="126"/>
    <d v="2025-02-22T00:00:00"/>
    <x v="32"/>
    <s v="C010"/>
    <s v="P004"/>
    <n v="13"/>
    <n v="0.12"/>
    <n v="32032"/>
    <n v="23400"/>
    <x v="114"/>
    <x v="3"/>
    <s v="Completed"/>
    <x v="32"/>
    <x v="3"/>
    <x v="10"/>
    <x v="2"/>
    <s v="Bronze"/>
    <s v="Mechanical Keyboard"/>
    <s v="Accessories"/>
    <n v="1800"/>
    <n v="2800"/>
    <x v="111"/>
  </r>
  <r>
    <x v="127"/>
    <d v="2025-03-20T00:00:00"/>
    <x v="35"/>
    <s v="C019"/>
    <s v="P005"/>
    <n v="16"/>
    <n v="0.03"/>
    <n v="17072"/>
    <n v="10400"/>
    <x v="115"/>
    <x v="2"/>
    <s v="Completed"/>
    <x v="35"/>
    <x v="2"/>
    <x v="20"/>
    <x v="1"/>
    <s v="Bronze"/>
    <s v="Wireless Mouse"/>
    <s v="Accessories"/>
    <n v="650"/>
    <n v="1100"/>
    <x v="112"/>
  </r>
  <r>
    <x v="128"/>
    <d v="2025-02-28T00:00:00"/>
    <x v="50"/>
    <s v="C047"/>
    <s v="P014"/>
    <n v="4"/>
    <n v="0.1"/>
    <n v="57600"/>
    <n v="46000"/>
    <x v="116"/>
    <x v="3"/>
    <s v="Completed"/>
    <x v="50"/>
    <x v="3"/>
    <x v="25"/>
    <x v="0"/>
    <s v="Bronze"/>
    <s v="Projector"/>
    <s v="Office"/>
    <n v="11500"/>
    <n v="16000"/>
    <x v="113"/>
  </r>
  <r>
    <x v="129"/>
    <d v="2025-05-21T00:00:00"/>
    <x v="63"/>
    <s v="C038"/>
    <s v="P007"/>
    <n v="11"/>
    <n v="0.12"/>
    <n v="101640"/>
    <n v="82500"/>
    <x v="117"/>
    <x v="2"/>
    <s v="Pending"/>
    <x v="63"/>
    <x v="2"/>
    <x v="41"/>
    <x v="1"/>
    <s v="Silver"/>
    <s v="Standing Desk"/>
    <s v="Office"/>
    <n v="7500"/>
    <n v="10500"/>
    <x v="114"/>
  </r>
  <r>
    <x v="130"/>
    <d v="2025-01-24T00:00:00"/>
    <x v="0"/>
    <s v="C029"/>
    <s v="P016"/>
    <n v="1"/>
    <n v="0.12"/>
    <n v="3696"/>
    <n v="2800"/>
    <x v="118"/>
    <x v="1"/>
    <s v="Completed"/>
    <x v="0"/>
    <x v="0"/>
    <x v="4"/>
    <x v="1"/>
    <s v="Silver"/>
    <s v="UPS 1000VA"/>
    <s v="IT Equipment"/>
    <n v="2800"/>
    <n v="4200"/>
    <x v="115"/>
  </r>
  <r>
    <x v="131"/>
    <d v="2025-01-21T00:00:00"/>
    <x v="71"/>
    <s v="C038"/>
    <s v="P005"/>
    <n v="8"/>
    <n v="0.03"/>
    <n v="8536"/>
    <n v="5200"/>
    <x v="119"/>
    <x v="2"/>
    <s v="Pending"/>
    <x v="71"/>
    <x v="0"/>
    <x v="41"/>
    <x v="1"/>
    <s v="Silver"/>
    <s v="Wireless Mouse"/>
    <s v="Accessories"/>
    <n v="650"/>
    <n v="1100"/>
    <x v="116"/>
  </r>
  <r>
    <x v="132"/>
    <d v="2025-06-02T00:00:00"/>
    <x v="31"/>
    <s v="C024"/>
    <s v="P020"/>
    <n v="17"/>
    <n v="0.03"/>
    <n v="85748"/>
    <n v="59500"/>
    <x v="120"/>
    <x v="1"/>
    <s v="Pending"/>
    <x v="31"/>
    <x v="6"/>
    <x v="3"/>
    <x v="0"/>
    <s v="Bronze"/>
    <s v="Barcode Scanner"/>
    <s v="Operations"/>
    <n v="3500"/>
    <n v="5200"/>
    <x v="117"/>
  </r>
  <r>
    <x v="133"/>
    <d v="2025-06-18T00:00:00"/>
    <x v="30"/>
    <s v="C050"/>
    <s v="P005"/>
    <n v="7"/>
    <n v="0.12"/>
    <n v="6776"/>
    <n v="4550"/>
    <x v="121"/>
    <x v="1"/>
    <s v="Cancelled"/>
    <x v="30"/>
    <x v="3"/>
    <x v="21"/>
    <x v="0"/>
    <s v="Silver"/>
    <s v="Wireless Mouse"/>
    <s v="Accessories"/>
    <n v="650"/>
    <n v="1100"/>
    <x v="118"/>
  </r>
  <r>
    <x v="134"/>
    <d v="2025-02-13T00:00:00"/>
    <x v="21"/>
    <s v="C036"/>
    <s v="P013"/>
    <n v="8"/>
    <n v="0.08"/>
    <n v="66240"/>
    <n v="52000"/>
    <x v="122"/>
    <x v="2"/>
    <s v="Completed"/>
    <x v="21"/>
    <x v="0"/>
    <x v="45"/>
    <x v="1"/>
    <s v="Bronze"/>
    <s v="Tablet 10 Inch"/>
    <s v="IT Equipment"/>
    <n v="6500"/>
    <n v="9000"/>
    <x v="119"/>
  </r>
  <r>
    <x v="135"/>
    <d v="2025-04-13T00:00:00"/>
    <x v="3"/>
    <s v="C032"/>
    <s v="P014"/>
    <n v="9"/>
    <n v="0.12"/>
    <n v="126720"/>
    <n v="103500"/>
    <x v="123"/>
    <x v="3"/>
    <s v="Unknow"/>
    <x v="3"/>
    <x v="2"/>
    <x v="6"/>
    <x v="0"/>
    <s v="Gold"/>
    <s v="Projector"/>
    <s v="Office"/>
    <n v="11500"/>
    <n v="16000"/>
    <x v="120"/>
  </r>
  <r>
    <x v="136"/>
    <d v="2025-05-21T00:00:00"/>
    <x v="72"/>
    <s v="C004"/>
    <s v="P018"/>
    <n v="3"/>
    <n v="0"/>
    <n v="10800"/>
    <n v="7200"/>
    <x v="124"/>
    <x v="2"/>
    <s v="Completed"/>
    <x v="72"/>
    <x v="2"/>
    <x v="40"/>
    <x v="0"/>
    <s v="Bronze"/>
    <s v="USB-C Dock"/>
    <s v="Accessories"/>
    <n v="2400"/>
    <n v="3600"/>
    <x v="121"/>
  </r>
  <r>
    <x v="137"/>
    <d v="2025-06-05T00:00:00"/>
    <x v="2"/>
    <s v="C048"/>
    <s v="P014"/>
    <n v="9"/>
    <n v="0"/>
    <n v="144000"/>
    <n v="103500"/>
    <x v="125"/>
    <x v="4"/>
    <s v="Completed"/>
    <x v="2"/>
    <x v="1"/>
    <x v="35"/>
    <x v="1"/>
    <s v="Bronze"/>
    <s v="Projector"/>
    <s v="Office"/>
    <n v="11500"/>
    <n v="16000"/>
    <x v="21"/>
  </r>
  <r>
    <x v="138"/>
    <d v="2025-01-28T00:00:00"/>
    <x v="12"/>
    <s v="C022"/>
    <s v="P010"/>
    <n v="14"/>
    <n v="0.08"/>
    <n v="43792"/>
    <n v="30800"/>
    <x v="126"/>
    <x v="2"/>
    <s v="Completed"/>
    <x v="12"/>
    <x v="4"/>
    <x v="30"/>
    <x v="1"/>
    <s v="Bronze"/>
    <s v="SSD 1TB"/>
    <s v="IT Equipment"/>
    <n v="2200"/>
    <n v="3400"/>
    <x v="122"/>
  </r>
  <r>
    <x v="139"/>
    <d v="2025-05-28T00:00:00"/>
    <x v="73"/>
    <s v="C012"/>
    <s v="P009"/>
    <n v="9"/>
    <n v="0.08"/>
    <n v="56304"/>
    <n v="40500"/>
    <x v="127"/>
    <x v="1"/>
    <s v="Pending"/>
    <x v="73"/>
    <x v="6"/>
    <x v="23"/>
    <x v="0"/>
    <s v="Bronze"/>
    <s v="Network Switch"/>
    <s v="IT Equipment"/>
    <n v="4500"/>
    <n v="6800"/>
    <x v="123"/>
  </r>
  <r>
    <x v="140"/>
    <d v="2025-04-28T00:00:00"/>
    <x v="74"/>
    <s v="C032"/>
    <s v="P009"/>
    <n v="11"/>
    <n v="0.12"/>
    <n v="65824"/>
    <n v="49500"/>
    <x v="128"/>
    <x v="3"/>
    <s v="Pending"/>
    <x v="74"/>
    <x v="3"/>
    <x v="6"/>
    <x v="0"/>
    <s v="Gold"/>
    <s v="Network Switch"/>
    <s v="IT Equipment"/>
    <n v="4500"/>
    <n v="6800"/>
    <x v="124"/>
  </r>
  <r>
    <x v="141"/>
    <d v="2025-06-12T00:00:00"/>
    <x v="66"/>
    <s v="C029"/>
    <s v="P009"/>
    <n v="3"/>
    <n v="0.05"/>
    <n v="19380"/>
    <n v="13500"/>
    <x v="129"/>
    <x v="1"/>
    <s v="Completed"/>
    <x v="66"/>
    <x v="4"/>
    <x v="4"/>
    <x v="1"/>
    <s v="Silver"/>
    <s v="Network Switch"/>
    <s v="IT Equipment"/>
    <n v="4500"/>
    <n v="6800"/>
    <x v="125"/>
  </r>
  <r>
    <x v="142"/>
    <d v="2025-05-18T00:00:00"/>
    <x v="75"/>
    <s v="C015"/>
    <s v="P003"/>
    <n v="12"/>
    <n v="0.08"/>
    <n v="132480"/>
    <n v="102000"/>
    <x v="130"/>
    <x v="0"/>
    <s v="Completed"/>
    <x v="75"/>
    <x v="4"/>
    <x v="17"/>
    <x v="2"/>
    <s v="Gold"/>
    <s v="Monitor 27 Inch"/>
    <s v="IT Equipment"/>
    <n v="8500"/>
    <n v="12000"/>
    <x v="126"/>
  </r>
  <r>
    <x v="143"/>
    <d v="2025-05-22T00:00:00"/>
    <x v="76"/>
    <s v="C020"/>
    <s v="P001"/>
    <n v="11"/>
    <n v="0"/>
    <n v="572000"/>
    <n v="462000"/>
    <x v="131"/>
    <x v="4"/>
    <s v="Cancelled"/>
    <x v="76"/>
    <x v="5"/>
    <x v="37"/>
    <x v="2"/>
    <s v="Silver"/>
    <s v="Laptop Pro 14"/>
    <s v="IT Equipment"/>
    <n v="42000"/>
    <n v="52000"/>
    <x v="127"/>
  </r>
  <r>
    <x v="144"/>
    <d v="2025-02-21T00:00:00"/>
    <x v="35"/>
    <s v="C032"/>
    <s v="P015"/>
    <n v="7"/>
    <n v="0.05"/>
    <n v="31920"/>
    <n v="22400"/>
    <x v="132"/>
    <x v="3"/>
    <s v="Completed"/>
    <x v="35"/>
    <x v="2"/>
    <x v="6"/>
    <x v="0"/>
    <s v="Gold"/>
    <s v="Router WiFi 6"/>
    <s v="IT Equipment"/>
    <n v="3200"/>
    <n v="4800"/>
    <x v="128"/>
  </r>
  <r>
    <x v="145"/>
    <d v="2025-06-08T00:00:00"/>
    <x v="77"/>
    <s v="C029"/>
    <s v="P003"/>
    <n v="8"/>
    <n v="0.12"/>
    <n v="84480"/>
    <n v="68000"/>
    <x v="133"/>
    <x v="1"/>
    <s v="Completed"/>
    <x v="77"/>
    <x v="1"/>
    <x v="4"/>
    <x v="1"/>
    <s v="Silver"/>
    <s v="Monitor 27 Inch"/>
    <s v="IT Equipment"/>
    <n v="8500"/>
    <n v="12000"/>
    <x v="129"/>
  </r>
  <r>
    <x v="146"/>
    <d v="2025-01-02T00:00:00"/>
    <x v="29"/>
    <s v="C001"/>
    <s v="P012"/>
    <n v="16"/>
    <n v="0.08"/>
    <n v="36800"/>
    <n v="25600"/>
    <x v="54"/>
    <x v="0"/>
    <s v="Pending"/>
    <x v="29"/>
    <x v="3"/>
    <x v="36"/>
    <x v="1"/>
    <s v="Silver"/>
    <s v="Headset Pro"/>
    <s v="Accessories"/>
    <n v="1600"/>
    <n v="2500"/>
    <x v="130"/>
  </r>
  <r>
    <x v="147"/>
    <d v="2025-05-28T00:00:00"/>
    <x v="10"/>
    <s v="C011"/>
    <s v="P020"/>
    <n v="11"/>
    <n v="0.05"/>
    <n v="54340"/>
    <n v="38500"/>
    <x v="134"/>
    <x v="1"/>
    <s v="Cancelled"/>
    <x v="10"/>
    <x v="3"/>
    <x v="8"/>
    <x v="2"/>
    <s v="Bronze"/>
    <s v="Barcode Scanner"/>
    <s v="Operations"/>
    <n v="3500"/>
    <n v="5200"/>
    <x v="131"/>
  </r>
  <r>
    <x v="148"/>
    <d v="2025-05-28T00:00:00"/>
    <x v="46"/>
    <s v="C006"/>
    <s v="P007"/>
    <n v="8"/>
    <n v="0.12"/>
    <n v="73920"/>
    <n v="60000"/>
    <x v="135"/>
    <x v="4"/>
    <s v="Cancelled"/>
    <x v="46"/>
    <x v="3"/>
    <x v="34"/>
    <x v="0"/>
    <s v="Silver"/>
    <s v="Standing Desk"/>
    <s v="Office"/>
    <n v="7500"/>
    <n v="10500"/>
    <x v="132"/>
  </r>
  <r>
    <x v="149"/>
    <d v="2025-06-25T00:00:00"/>
    <x v="10"/>
    <s v="C012"/>
    <s v="P020"/>
    <n v="12"/>
    <n v="0.05"/>
    <n v="59280"/>
    <n v="42000"/>
    <x v="136"/>
    <x v="1"/>
    <s v="Cancelled"/>
    <x v="10"/>
    <x v="3"/>
    <x v="23"/>
    <x v="0"/>
    <s v="Bronze"/>
    <s v="Barcode Scanner"/>
    <s v="Operations"/>
    <n v="3500"/>
    <n v="5200"/>
    <x v="133"/>
  </r>
  <r>
    <x v="150"/>
    <d v="2025-06-22T00:00:00"/>
    <x v="57"/>
    <s v="C004"/>
    <s v="P008"/>
    <n v="1"/>
    <n v="0"/>
    <n v="9000"/>
    <n v="6500"/>
    <x v="137"/>
    <x v="2"/>
    <s v="Cancelled"/>
    <x v="57"/>
    <x v="3"/>
    <x v="40"/>
    <x v="0"/>
    <s v="Bronze"/>
    <s v="Printer Laser"/>
    <s v="Office"/>
    <n v="6500"/>
    <n v="9000"/>
    <x v="134"/>
  </r>
  <r>
    <x v="151"/>
    <d v="2025-03-09T00:00:00"/>
    <x v="5"/>
    <s v="C013"/>
    <s v="P020"/>
    <n v="6"/>
    <n v="0.08"/>
    <n v="28704"/>
    <n v="21000"/>
    <x v="138"/>
    <x v="0"/>
    <s v="Completed"/>
    <x v="5"/>
    <x v="2"/>
    <x v="46"/>
    <x v="0"/>
    <s v="Gold"/>
    <s v="Barcode Scanner"/>
    <s v="Operations"/>
    <n v="3500"/>
    <n v="5200"/>
    <x v="135"/>
  </r>
  <r>
    <x v="152"/>
    <d v="2025-04-18T00:00:00"/>
    <x v="68"/>
    <s v="C048"/>
    <s v="P019"/>
    <n v="14"/>
    <n v="0"/>
    <n v="50400"/>
    <n v="33600"/>
    <x v="139"/>
    <x v="4"/>
    <s v="Completed"/>
    <x v="68"/>
    <x v="3"/>
    <x v="35"/>
    <x v="1"/>
    <s v="Bronze"/>
    <s v="External HDD 2TB"/>
    <s v="IT Equipment"/>
    <n v="2400"/>
    <n v="3600"/>
    <x v="136"/>
  </r>
  <r>
    <x v="153"/>
    <d v="2025-06-25T00:00:00"/>
    <x v="31"/>
    <s v="C048"/>
    <s v="P016"/>
    <n v="5"/>
    <n v="0.08"/>
    <n v="19320"/>
    <n v="14000"/>
    <x v="140"/>
    <x v="4"/>
    <s v="Completed"/>
    <x v="31"/>
    <x v="6"/>
    <x v="35"/>
    <x v="1"/>
    <s v="Bronze"/>
    <s v="UPS 1000VA"/>
    <s v="IT Equipment"/>
    <n v="2800"/>
    <n v="4200"/>
    <x v="137"/>
  </r>
  <r>
    <x v="154"/>
    <d v="2025-02-07T00:00:00"/>
    <x v="78"/>
    <s v="C018"/>
    <s v="P002"/>
    <n v="13"/>
    <n v="0"/>
    <n v="494000"/>
    <n v="390000"/>
    <x v="141"/>
    <x v="0"/>
    <s v="Completed"/>
    <x v="78"/>
    <x v="3"/>
    <x v="0"/>
    <x v="0"/>
    <s v="Bronze"/>
    <s v="Laptop Business 15"/>
    <s v="IT Equipment"/>
    <n v="30000"/>
    <n v="38000"/>
    <x v="138"/>
  </r>
  <r>
    <x v="155"/>
    <d v="2025-06-11T00:00:00"/>
    <x v="76"/>
    <s v="C017"/>
    <s v="P012"/>
    <n v="16"/>
    <n v="0"/>
    <n v="40000"/>
    <n v="25600"/>
    <x v="10"/>
    <x v="3"/>
    <s v="Completed"/>
    <x v="76"/>
    <x v="5"/>
    <x v="5"/>
    <x v="0"/>
    <s v="Gold"/>
    <s v="Headset Pro"/>
    <s v="Accessories"/>
    <n v="1600"/>
    <n v="2500"/>
    <x v="139"/>
  </r>
  <r>
    <x v="156"/>
    <d v="2025-01-26T00:00:00"/>
    <x v="18"/>
    <s v="C028"/>
    <s v="P012"/>
    <n v="2"/>
    <n v="0.05"/>
    <n v="4750"/>
    <n v="3200"/>
    <x v="142"/>
    <x v="1"/>
    <s v="Pending"/>
    <x v="18"/>
    <x v="2"/>
    <x v="15"/>
    <x v="2"/>
    <s v="Gold"/>
    <s v="Headset Pro"/>
    <s v="Accessories"/>
    <n v="1600"/>
    <n v="2500"/>
    <x v="140"/>
  </r>
  <r>
    <x v="157"/>
    <d v="2025-03-27T00:00:00"/>
    <x v="79"/>
    <s v="C049"/>
    <s v="P009"/>
    <n v="4"/>
    <n v="0.05"/>
    <n v="25840"/>
    <n v="18000"/>
    <x v="102"/>
    <x v="4"/>
    <s v="Completed"/>
    <x v="79"/>
    <x v="3"/>
    <x v="33"/>
    <x v="2"/>
    <s v="Silver"/>
    <s v="Network Switch"/>
    <s v="IT Equipment"/>
    <n v="4500"/>
    <n v="6800"/>
    <x v="98"/>
  </r>
  <r>
    <x v="158"/>
    <d v="2025-03-31T00:00:00"/>
    <x v="45"/>
    <s v="C040"/>
    <s v="P010"/>
    <n v="14"/>
    <n v="0"/>
    <n v="47600"/>
    <n v="30800"/>
    <x v="139"/>
    <x v="2"/>
    <s v="Cancelled"/>
    <x v="45"/>
    <x v="4"/>
    <x v="2"/>
    <x v="1"/>
    <s v="Silver"/>
    <s v="SSD 1TB"/>
    <s v="IT Equipment"/>
    <n v="2200"/>
    <n v="3400"/>
    <x v="141"/>
  </r>
  <r>
    <x v="159"/>
    <d v="2025-03-14T00:00:00"/>
    <x v="56"/>
    <s v="C028"/>
    <s v="P019"/>
    <n v="18"/>
    <n v="0"/>
    <n v="64800"/>
    <n v="43200"/>
    <x v="79"/>
    <x v="1"/>
    <s v="Pending"/>
    <x v="56"/>
    <x v="0"/>
    <x v="15"/>
    <x v="2"/>
    <s v="Gold"/>
    <s v="External HDD 2TB"/>
    <s v="IT Equipment"/>
    <n v="2400"/>
    <n v="3600"/>
    <x v="13"/>
  </r>
  <r>
    <x v="160"/>
    <d v="2025-03-15T00:00:00"/>
    <x v="77"/>
    <s v="C046"/>
    <s v="P008"/>
    <n v="13"/>
    <n v="0.08"/>
    <n v="107640"/>
    <n v="84500"/>
    <x v="143"/>
    <x v="0"/>
    <s v="Completed"/>
    <x v="77"/>
    <x v="1"/>
    <x v="32"/>
    <x v="1"/>
    <s v="Silver"/>
    <s v="Printer Laser"/>
    <s v="Office"/>
    <n v="6500"/>
    <n v="9000"/>
    <x v="142"/>
  </r>
  <r>
    <x v="161"/>
    <d v="2025-01-19T00:00:00"/>
    <x v="75"/>
    <s v="C041"/>
    <s v="P017"/>
    <n v="13"/>
    <n v="0.12"/>
    <n v="74360"/>
    <n v="54600"/>
    <x v="144"/>
    <x v="4"/>
    <s v="Completed"/>
    <x v="75"/>
    <x v="4"/>
    <x v="24"/>
    <x v="0"/>
    <s v="Gold"/>
    <s v="Office Desk"/>
    <s v="Office"/>
    <n v="4200"/>
    <n v="6500"/>
    <x v="143"/>
  </r>
  <r>
    <x v="162"/>
    <d v="2025-04-24T00:00:00"/>
    <x v="19"/>
    <s v="C024"/>
    <s v="P014"/>
    <n v="13"/>
    <n v="0.03"/>
    <n v="201760"/>
    <n v="149500"/>
    <x v="145"/>
    <x v="1"/>
    <s v="Cancelled"/>
    <x v="19"/>
    <x v="3"/>
    <x v="3"/>
    <x v="0"/>
    <s v="Bronze"/>
    <s v="Projector"/>
    <s v="Office"/>
    <n v="11500"/>
    <n v="16000"/>
    <x v="144"/>
  </r>
  <r>
    <x v="163"/>
    <d v="2025-02-17T00:00:00"/>
    <x v="1"/>
    <s v="C043"/>
    <s v="P016"/>
    <n v="14"/>
    <n v="0"/>
    <n v="58800"/>
    <n v="39200"/>
    <x v="146"/>
    <x v="2"/>
    <s v="Completed"/>
    <x v="1"/>
    <x v="1"/>
    <x v="19"/>
    <x v="1"/>
    <s v="Silver"/>
    <s v="UPS 1000VA"/>
    <s v="IT Equipment"/>
    <n v="2800"/>
    <n v="4200"/>
    <x v="145"/>
  </r>
  <r>
    <x v="164"/>
    <d v="2025-02-12T00:00:00"/>
    <x v="71"/>
    <s v="C033"/>
    <s v="P004"/>
    <n v="3"/>
    <n v="0"/>
    <n v="8400"/>
    <n v="5400"/>
    <x v="147"/>
    <x v="2"/>
    <s v="Pending"/>
    <x v="71"/>
    <x v="0"/>
    <x v="43"/>
    <x v="2"/>
    <s v="Silver"/>
    <s v="Mechanical Keyboard"/>
    <s v="Accessories"/>
    <n v="1800"/>
    <n v="2800"/>
    <x v="146"/>
  </r>
  <r>
    <x v="165"/>
    <d v="2025-04-12T00:00:00"/>
    <x v="80"/>
    <s v="C009"/>
    <s v="P007"/>
    <n v="1"/>
    <n v="0.12"/>
    <n v="9240"/>
    <n v="7500"/>
    <x v="148"/>
    <x v="3"/>
    <s v="Cancelled"/>
    <x v="80"/>
    <x v="2"/>
    <x v="27"/>
    <x v="2"/>
    <s v="Silver"/>
    <s v="Standing Desk"/>
    <s v="Office"/>
    <n v="7500"/>
    <n v="10500"/>
    <x v="147"/>
  </r>
  <r>
    <x v="166"/>
    <d v="2025-02-28T00:00:00"/>
    <x v="46"/>
    <s v="C038"/>
    <s v="P007"/>
    <n v="13"/>
    <n v="0.03"/>
    <n v="132405"/>
    <n v="97500"/>
    <x v="149"/>
    <x v="2"/>
    <s v="Completed"/>
    <x v="46"/>
    <x v="3"/>
    <x v="41"/>
    <x v="1"/>
    <s v="Silver"/>
    <s v="Standing Desk"/>
    <s v="Office"/>
    <n v="7500"/>
    <n v="10500"/>
    <x v="148"/>
  </r>
  <r>
    <x v="167"/>
    <d v="2025-01-09T00:00:00"/>
    <x v="10"/>
    <s v="C045"/>
    <s v="P009"/>
    <n v="6"/>
    <n v="0"/>
    <n v="40800"/>
    <n v="27000"/>
    <x v="150"/>
    <x v="4"/>
    <s v="Pending"/>
    <x v="10"/>
    <x v="3"/>
    <x v="47"/>
    <x v="0"/>
    <s v="Gold"/>
    <s v="Network Switch"/>
    <s v="IT Equipment"/>
    <n v="4500"/>
    <n v="6800"/>
    <x v="149"/>
  </r>
  <r>
    <x v="168"/>
    <d v="2025-05-21T00:00:00"/>
    <x v="9"/>
    <s v="C012"/>
    <s v="P003"/>
    <n v="18"/>
    <n v="0.03"/>
    <n v="209520"/>
    <n v="153000"/>
    <x v="92"/>
    <x v="1"/>
    <s v="Completed"/>
    <x v="9"/>
    <x v="3"/>
    <x v="23"/>
    <x v="0"/>
    <s v="Bronze"/>
    <s v="Monitor 27 Inch"/>
    <s v="IT Equipment"/>
    <n v="8500"/>
    <n v="12000"/>
    <x v="89"/>
  </r>
  <r>
    <x v="169"/>
    <d v="2025-06-12T00:00:00"/>
    <x v="48"/>
    <s v="C020"/>
    <s v="P014"/>
    <n v="15"/>
    <n v="0.1"/>
    <n v="216000"/>
    <n v="172500"/>
    <x v="151"/>
    <x v="4"/>
    <s v="Cancelled"/>
    <x v="48"/>
    <x v="5"/>
    <x v="37"/>
    <x v="2"/>
    <s v="Silver"/>
    <s v="Projector"/>
    <s v="Office"/>
    <n v="11500"/>
    <n v="16000"/>
    <x v="150"/>
  </r>
  <r>
    <x v="170"/>
    <d v="2025-05-19T00:00:00"/>
    <x v="34"/>
    <s v="C016"/>
    <s v="P020"/>
    <n v="12"/>
    <n v="0.05"/>
    <n v="59280"/>
    <n v="42000"/>
    <x v="136"/>
    <x v="3"/>
    <s v="Pending"/>
    <x v="34"/>
    <x v="0"/>
    <x v="39"/>
    <x v="2"/>
    <s v="Gold"/>
    <s v="Barcode Scanner"/>
    <s v="Operations"/>
    <n v="3500"/>
    <n v="5200"/>
    <x v="133"/>
  </r>
  <r>
    <x v="171"/>
    <d v="2025-01-01T00:00:00"/>
    <x v="26"/>
    <s v="C003"/>
    <s v="P009"/>
    <n v="10"/>
    <n v="0"/>
    <n v="68000"/>
    <n v="45000"/>
    <x v="152"/>
    <x v="4"/>
    <s v="Completed"/>
    <x v="26"/>
    <x v="0"/>
    <x v="18"/>
    <x v="0"/>
    <s v="Gold"/>
    <s v="Network Switch"/>
    <s v="IT Equipment"/>
    <n v="4500"/>
    <n v="6800"/>
    <x v="151"/>
  </r>
  <r>
    <x v="172"/>
    <d v="2025-05-06T00:00:00"/>
    <x v="39"/>
    <s v="C012"/>
    <s v="P006"/>
    <n v="1"/>
    <n v="0.1"/>
    <n v="6480"/>
    <n v="4800"/>
    <x v="111"/>
    <x v="1"/>
    <s v="Pending"/>
    <x v="39"/>
    <x v="4"/>
    <x v="23"/>
    <x v="0"/>
    <s v="Bronze"/>
    <s v="Office Chair Ergo"/>
    <s v="Office"/>
    <n v="4800"/>
    <n v="7200"/>
    <x v="107"/>
  </r>
  <r>
    <x v="173"/>
    <d v="2025-01-02T00:00:00"/>
    <x v="33"/>
    <s v="C019"/>
    <s v="P010"/>
    <n v="8"/>
    <n v="0.12"/>
    <n v="23936"/>
    <n v="17600"/>
    <x v="153"/>
    <x v="2"/>
    <s v="Pending"/>
    <x v="33"/>
    <x v="3"/>
    <x v="20"/>
    <x v="1"/>
    <s v="Bronze"/>
    <s v="SSD 1TB"/>
    <s v="IT Equipment"/>
    <n v="2200"/>
    <n v="3400"/>
    <x v="48"/>
  </r>
  <r>
    <x v="174"/>
    <d v="2025-06-15T00:00:00"/>
    <x v="81"/>
    <s v="C039"/>
    <s v="P013"/>
    <n v="6"/>
    <n v="0.1"/>
    <n v="48600"/>
    <n v="39000"/>
    <x v="1"/>
    <x v="2"/>
    <s v="Pending"/>
    <x v="81"/>
    <x v="2"/>
    <x v="11"/>
    <x v="2"/>
    <s v="Silver"/>
    <s v="Tablet 10 Inch"/>
    <s v="IT Equipment"/>
    <n v="6500"/>
    <n v="9000"/>
    <x v="152"/>
  </r>
  <r>
    <x v="175"/>
    <d v="2025-06-06T00:00:00"/>
    <x v="74"/>
    <s v="C019"/>
    <s v="P012"/>
    <n v="17"/>
    <n v="0.12"/>
    <n v="37400"/>
    <n v="27200"/>
    <x v="154"/>
    <x v="2"/>
    <s v="Cancelled"/>
    <x v="74"/>
    <x v="3"/>
    <x v="20"/>
    <x v="1"/>
    <s v="Bronze"/>
    <s v="Headset Pro"/>
    <s v="Accessories"/>
    <n v="1600"/>
    <n v="2500"/>
    <x v="153"/>
  </r>
  <r>
    <x v="176"/>
    <d v="2025-01-18T00:00:00"/>
    <x v="16"/>
    <s v="C014"/>
    <s v="P007"/>
    <n v="14"/>
    <n v="0"/>
    <n v="147000"/>
    <n v="105000"/>
    <x v="20"/>
    <x v="0"/>
    <s v="Cancelled"/>
    <x v="16"/>
    <x v="0"/>
    <x v="31"/>
    <x v="1"/>
    <s v="Gold"/>
    <s v="Standing Desk"/>
    <s v="Office"/>
    <n v="7500"/>
    <n v="10500"/>
    <x v="154"/>
  </r>
  <r>
    <x v="177"/>
    <d v="2025-03-24T00:00:00"/>
    <x v="16"/>
    <s v="C050"/>
    <s v="P014"/>
    <n v="16"/>
    <n v="0"/>
    <n v="256000"/>
    <n v="184000"/>
    <x v="155"/>
    <x v="1"/>
    <s v="Completed"/>
    <x v="16"/>
    <x v="0"/>
    <x v="21"/>
    <x v="0"/>
    <s v="Silver"/>
    <s v="Projector"/>
    <s v="Office"/>
    <n v="11500"/>
    <n v="16000"/>
    <x v="155"/>
  </r>
  <r>
    <x v="178"/>
    <d v="2025-02-02T00:00:00"/>
    <x v="63"/>
    <s v="C009"/>
    <s v="P015"/>
    <n v="10"/>
    <n v="0.03"/>
    <n v="46560"/>
    <n v="32000"/>
    <x v="156"/>
    <x v="3"/>
    <s v="Unknow"/>
    <x v="63"/>
    <x v="2"/>
    <x v="27"/>
    <x v="2"/>
    <s v="Silver"/>
    <s v="Router WiFi 6"/>
    <s v="IT Equipment"/>
    <n v="3200"/>
    <n v="4800"/>
    <x v="156"/>
  </r>
  <r>
    <x v="179"/>
    <d v="2025-04-18T00:00:00"/>
    <x v="40"/>
    <s v="C028"/>
    <s v="P014"/>
    <n v="7"/>
    <n v="0.03"/>
    <n v="108640"/>
    <n v="80500"/>
    <x v="157"/>
    <x v="1"/>
    <s v="Pending"/>
    <x v="40"/>
    <x v="0"/>
    <x v="15"/>
    <x v="2"/>
    <s v="Gold"/>
    <s v="Projector"/>
    <s v="Office"/>
    <n v="11500"/>
    <n v="16000"/>
    <x v="1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5">
  <r>
    <s v="E001"/>
    <x v="0"/>
    <s v="Sales"/>
    <n v="51000"/>
    <n v="800000"/>
    <n v="865500"/>
    <n v="90.7"/>
    <n v="95.3"/>
    <n v="91.1"/>
    <n v="81.599999999999994"/>
    <x v="0"/>
    <x v="0"/>
    <s v="Meets Target"/>
    <s v="Yes"/>
    <n v="0.1"/>
    <n v="5100"/>
  </r>
  <r>
    <s v="E002"/>
    <x v="1"/>
    <s v="Sales"/>
    <n v="39000"/>
    <n v="1130000"/>
    <n v="904600"/>
    <n v="81.400000000000006"/>
    <n v="94.8"/>
    <n v="68"/>
    <n v="73.3"/>
    <x v="1"/>
    <x v="1"/>
    <s v="Below Target"/>
    <s v="No"/>
    <n v="0"/>
    <n v="0"/>
  </r>
  <r>
    <s v="E003"/>
    <x v="2"/>
    <s v="Sales"/>
    <n v="32000"/>
    <n v="1040000"/>
    <n v="1103000"/>
    <n v="78.3"/>
    <n v="93.3"/>
    <n v="76.400000000000006"/>
    <n v="96.2"/>
    <x v="2"/>
    <x v="2"/>
    <s v="Meets Target"/>
    <s v="Yes"/>
    <n v="0.1"/>
    <n v="3200"/>
  </r>
  <r>
    <s v="E004"/>
    <x v="3"/>
    <s v="Sales"/>
    <n v="44500"/>
    <n v="720000"/>
    <n v="869100"/>
    <n v="70.900000000000006"/>
    <n v="91.9"/>
    <n v="88.5"/>
    <n v="88.8"/>
    <x v="3"/>
    <x v="3"/>
    <s v="Outstanding"/>
    <s v="Yes"/>
    <n v="0.2"/>
    <n v="8900"/>
  </r>
  <r>
    <s v="E005"/>
    <x v="4"/>
    <s v="Sales"/>
    <n v="31500"/>
    <n v="1060000"/>
    <n v="1030900"/>
    <n v="71.8"/>
    <n v="91.3"/>
    <n v="74.8"/>
    <n v="86.2"/>
    <x v="4"/>
    <x v="4"/>
    <s v="Near Target"/>
    <s v="No"/>
    <n v="0.05"/>
    <n v="1575"/>
  </r>
  <r>
    <s v="E006"/>
    <x v="5"/>
    <s v="Sales"/>
    <n v="37500"/>
    <n v="720000"/>
    <n v="926400"/>
    <n v="75.8"/>
    <n v="89.9"/>
    <n v="78.900000000000006"/>
    <n v="92.3"/>
    <x v="5"/>
    <x v="5"/>
    <s v="Outstanding"/>
    <s v="Yes"/>
    <n v="0.2"/>
    <n v="7500"/>
  </r>
  <r>
    <s v="E007"/>
    <x v="6"/>
    <s v="Sales"/>
    <n v="34000"/>
    <n v="1200000"/>
    <n v="863500"/>
    <n v="95.1"/>
    <n v="93.3"/>
    <n v="72.7"/>
    <n v="71.2"/>
    <x v="6"/>
    <x v="6"/>
    <s v="Below Target"/>
    <s v="No"/>
    <n v="0"/>
    <n v="0"/>
  </r>
  <r>
    <s v="E008"/>
    <x v="7"/>
    <s v="Sales"/>
    <n v="51000"/>
    <n v="1130000"/>
    <n v="1251100"/>
    <n v="80.5"/>
    <n v="94.7"/>
    <n v="71"/>
    <n v="81.400000000000006"/>
    <x v="7"/>
    <x v="7"/>
    <s v="Exceeds Target"/>
    <s v="Yes"/>
    <n v="0.15"/>
    <n v="7650"/>
  </r>
  <r>
    <s v="E009"/>
    <x v="8"/>
    <s v="Sales"/>
    <n v="46000"/>
    <n v="820000"/>
    <n v="731800"/>
    <n v="81.099999999999994"/>
    <n v="91.3"/>
    <n v="64.7"/>
    <n v="99"/>
    <x v="8"/>
    <x v="8"/>
    <s v="Below Target"/>
    <s v="No"/>
    <n v="0"/>
    <n v="0"/>
  </r>
  <r>
    <s v="E010"/>
    <x v="9"/>
    <s v="Sales"/>
    <n v="30500"/>
    <n v="1100000"/>
    <n v="808000"/>
    <n v="83.6"/>
    <n v="86.9"/>
    <n v="60"/>
    <n v="84.8"/>
    <x v="9"/>
    <x v="9"/>
    <s v="Below Target"/>
    <s v="No"/>
    <n v="0"/>
    <n v="0"/>
  </r>
  <r>
    <s v="E011"/>
    <x v="10"/>
    <s v="Sales"/>
    <n v="28500"/>
    <n v="1120000"/>
    <n v="1132800"/>
    <n v="93.4"/>
    <n v="95.6"/>
    <n v="78.5"/>
    <n v="76.400000000000006"/>
    <x v="10"/>
    <x v="10"/>
    <s v="Meets Target"/>
    <s v="Yes"/>
    <n v="0.1"/>
    <n v="2850"/>
  </r>
  <r>
    <s v="E012"/>
    <x v="11"/>
    <s v="Sales"/>
    <n v="31000"/>
    <n v="1110000"/>
    <n v="1387300"/>
    <n v="90.4"/>
    <n v="89"/>
    <n v="80.400000000000006"/>
    <n v="85.2"/>
    <x v="5"/>
    <x v="11"/>
    <s v="Outstanding"/>
    <s v="Yes"/>
    <n v="0.2"/>
    <n v="6200"/>
  </r>
  <r>
    <s v="E013"/>
    <x v="12"/>
    <s v="Sales"/>
    <n v="44500"/>
    <n v="1170000"/>
    <n v="1073800"/>
    <n v="88.9"/>
    <n v="97.3"/>
    <n v="78.099999999999994"/>
    <n v="81.8"/>
    <x v="11"/>
    <x v="12"/>
    <s v="Near Target"/>
    <s v="No"/>
    <n v="0.05"/>
    <n v="2225"/>
  </r>
  <r>
    <s v="E014"/>
    <x v="13"/>
    <s v="Sales"/>
    <n v="42000"/>
    <n v="830000"/>
    <n v="1037300"/>
    <n v="90.4"/>
    <n v="94.3"/>
    <n v="63.7"/>
    <n v="86.8"/>
    <x v="5"/>
    <x v="13"/>
    <s v="Outstanding"/>
    <s v="Yes"/>
    <n v="0.2"/>
    <n v="8400"/>
  </r>
  <r>
    <s v="E015"/>
    <x v="14"/>
    <s v="Sales"/>
    <n v="28500"/>
    <n v="730000"/>
    <n v="807100"/>
    <n v="57.2"/>
    <n v="95"/>
    <n v="75.8"/>
    <n v="82.2"/>
    <x v="12"/>
    <x v="14"/>
    <s v="Exceeds Target"/>
    <s v="Yes"/>
    <n v="0.15"/>
    <n v="4275"/>
  </r>
  <r>
    <s v="E016"/>
    <x v="15"/>
    <s v="Sales"/>
    <n v="38500"/>
    <n v="760000"/>
    <n v="620700"/>
    <n v="80.7"/>
    <n v="99.6"/>
    <n v="75.5"/>
    <n v="91.7"/>
    <x v="13"/>
    <x v="15"/>
    <s v="Below Target"/>
    <s v="No"/>
    <n v="0"/>
    <n v="0"/>
  </r>
  <r>
    <s v="E017"/>
    <x v="16"/>
    <s v="Sales"/>
    <n v="31000"/>
    <n v="1170000"/>
    <n v="976800"/>
    <n v="88.8"/>
    <n v="94"/>
    <n v="83.5"/>
    <n v="84.1"/>
    <x v="14"/>
    <x v="16"/>
    <s v="Below Target"/>
    <s v="No"/>
    <n v="0"/>
    <n v="0"/>
  </r>
  <r>
    <s v="E018"/>
    <x v="17"/>
    <s v="Sales"/>
    <n v="32000"/>
    <n v="990000"/>
    <n v="1084500"/>
    <n v="58.9"/>
    <n v="88.3"/>
    <n v="84.2"/>
    <n v="67.7"/>
    <x v="15"/>
    <x v="17"/>
    <s v="Meets Target"/>
    <s v="No"/>
    <n v="0.1"/>
    <n v="3200"/>
  </r>
  <r>
    <s v="E019"/>
    <x v="18"/>
    <s v="Sales"/>
    <n v="37500"/>
    <n v="710000"/>
    <n v="628000"/>
    <n v="81.5"/>
    <n v="90.7"/>
    <n v="73.099999999999994"/>
    <n v="86.2"/>
    <x v="16"/>
    <x v="18"/>
    <s v="Below Target"/>
    <s v="No"/>
    <n v="0"/>
    <n v="0"/>
  </r>
  <r>
    <s v="E020"/>
    <x v="19"/>
    <s v="Sales"/>
    <n v="38000"/>
    <n v="880000"/>
    <n v="1022300"/>
    <n v="73.400000000000006"/>
    <n v="91.7"/>
    <n v="72.7"/>
    <n v="64.599999999999994"/>
    <x v="10"/>
    <x v="19"/>
    <s v="Exceeds Target"/>
    <s v="Yes"/>
    <n v="0.15"/>
    <n v="5700"/>
  </r>
  <r>
    <s v="E021"/>
    <x v="20"/>
    <s v="Sales"/>
    <n v="34500"/>
    <n v="920000"/>
    <n v="925100"/>
    <n v="90.4"/>
    <n v="98.1"/>
    <n v="71.3"/>
    <n v="74"/>
    <x v="17"/>
    <x v="20"/>
    <s v="Meets Target"/>
    <s v="Yes"/>
    <n v="0.1"/>
    <n v="3450"/>
  </r>
  <r>
    <s v="E022"/>
    <x v="21"/>
    <s v="Sales"/>
    <n v="29000"/>
    <n v="1010000"/>
    <n v="993700"/>
    <n v="89.5"/>
    <n v="94.6"/>
    <n v="82.9"/>
    <n v="93.1"/>
    <x v="18"/>
    <x v="21"/>
    <s v="Near Target"/>
    <s v="Yes"/>
    <n v="0.05"/>
    <n v="1450"/>
  </r>
  <r>
    <s v="E023"/>
    <x v="22"/>
    <s v="Sales"/>
    <n v="43500"/>
    <n v="950000"/>
    <n v="804600"/>
    <n v="80"/>
    <n v="100"/>
    <n v="78"/>
    <n v="73.900000000000006"/>
    <x v="19"/>
    <x v="22"/>
    <s v="Below Target"/>
    <s v="No"/>
    <n v="0"/>
    <n v="0"/>
  </r>
  <r>
    <s v="E024"/>
    <x v="23"/>
    <s v="Sales"/>
    <n v="39500"/>
    <n v="740000"/>
    <n v="636000"/>
    <n v="73.599999999999994"/>
    <n v="95.4"/>
    <n v="71"/>
    <n v="86.2"/>
    <x v="19"/>
    <x v="23"/>
    <s v="Below Target"/>
    <s v="No"/>
    <n v="0"/>
    <n v="0"/>
  </r>
  <r>
    <s v="E025"/>
    <x v="24"/>
    <s v="Sales"/>
    <n v="31500"/>
    <n v="800000"/>
    <n v="678000"/>
    <n v="62.9"/>
    <n v="95.2"/>
    <n v="81.5"/>
    <n v="88.1"/>
    <x v="20"/>
    <x v="24"/>
    <s v="Below Target"/>
    <s v="No"/>
    <n v="0"/>
    <n v="0"/>
  </r>
  <r>
    <s v="E026"/>
    <x v="25"/>
    <s v="Sales"/>
    <n v="34000"/>
    <n v="1200000"/>
    <n v="1030600"/>
    <n v="75"/>
    <n v="95.6"/>
    <n v="95.2"/>
    <n v="84.1"/>
    <x v="21"/>
    <x v="25"/>
    <s v="Below Target"/>
    <s v="No"/>
    <n v="0"/>
    <n v="0"/>
  </r>
  <r>
    <s v="E027"/>
    <x v="26"/>
    <s v="Sales"/>
    <n v="47000"/>
    <n v="1190000"/>
    <n v="1257100"/>
    <n v="79.099999999999994"/>
    <n v="87.8"/>
    <n v="89.7"/>
    <n v="91.3"/>
    <x v="2"/>
    <x v="26"/>
    <s v="Meets Target"/>
    <s v="Yes"/>
    <n v="0.1"/>
    <n v="4700"/>
  </r>
  <r>
    <s v="E028"/>
    <x v="27"/>
    <s v="Sales"/>
    <n v="36500"/>
    <n v="970000"/>
    <n v="1074700"/>
    <n v="80.400000000000006"/>
    <n v="96.4"/>
    <n v="88.9"/>
    <n v="97"/>
    <x v="22"/>
    <x v="27"/>
    <s v="Exceeds Target"/>
    <s v="Yes"/>
    <n v="0.15"/>
    <n v="5475"/>
  </r>
  <r>
    <s v="E029"/>
    <x v="28"/>
    <s v="Finance"/>
    <n v="37000"/>
    <n v="1080000"/>
    <n v="1250600"/>
    <n v="82.6"/>
    <n v="88.8"/>
    <n v="81.599999999999994"/>
    <n v="86.1"/>
    <x v="23"/>
    <x v="28"/>
    <s v="Exceeds Target"/>
    <s v="Yes"/>
    <n v="0.15"/>
    <n v="5550"/>
  </r>
  <r>
    <s v="E030"/>
    <x v="29"/>
    <s v="Finance"/>
    <n v="38000"/>
    <n v="890000"/>
    <n v="985800"/>
    <n v="94.2"/>
    <n v="93.6"/>
    <n v="99"/>
    <n v="69.900000000000006"/>
    <x v="24"/>
    <x v="29"/>
    <s v="Exceeds Target"/>
    <s v="Yes"/>
    <n v="0.15"/>
    <n v="5700"/>
  </r>
  <r>
    <s v="E031"/>
    <x v="30"/>
    <s v="Finance"/>
    <n v="42000"/>
    <n v="810000"/>
    <n v="854900"/>
    <n v="74.8"/>
    <n v="86.4"/>
    <n v="78"/>
    <n v="72.3"/>
    <x v="25"/>
    <x v="30"/>
    <s v="Meets Target"/>
    <s v="No"/>
    <n v="0.1"/>
    <n v="4200"/>
  </r>
  <r>
    <s v="E032"/>
    <x v="31"/>
    <s v="Finance"/>
    <n v="31000"/>
    <n v="1300000"/>
    <n v="1236200"/>
    <n v="82.3"/>
    <n v="98.5"/>
    <n v="64.900000000000006"/>
    <n v="91.3"/>
    <x v="26"/>
    <x v="31"/>
    <s v="Near Target"/>
    <s v="No"/>
    <n v="0.05"/>
    <n v="1550"/>
  </r>
  <r>
    <s v="E033"/>
    <x v="32"/>
    <s v="Finance"/>
    <n v="37000"/>
    <n v="1090000"/>
    <n v="1087400"/>
    <n v="91.3"/>
    <n v="92.3"/>
    <n v="66.7"/>
    <n v="74.3"/>
    <x v="27"/>
    <x v="32"/>
    <s v="Near Target"/>
    <s v="Yes"/>
    <n v="0.05"/>
    <n v="1850"/>
  </r>
  <r>
    <s v="E034"/>
    <x v="33"/>
    <s v="Finance"/>
    <n v="49500"/>
    <n v="850000"/>
    <n v="635400"/>
    <n v="86.3"/>
    <n v="99.9"/>
    <n v="74.400000000000006"/>
    <n v="89"/>
    <x v="28"/>
    <x v="33"/>
    <s v="Below Target"/>
    <s v="No"/>
    <n v="0"/>
    <n v="0"/>
  </r>
  <r>
    <s v="E035"/>
    <x v="34"/>
    <s v="Finance"/>
    <n v="35000"/>
    <n v="1070000"/>
    <n v="755200"/>
    <n v="83.6"/>
    <n v="96.7"/>
    <n v="65.5"/>
    <n v="82.4"/>
    <x v="29"/>
    <x v="34"/>
    <s v="Below Target"/>
    <s v="No"/>
    <n v="0"/>
    <n v="0"/>
  </r>
  <r>
    <s v="E036"/>
    <x v="35"/>
    <s v="Finance"/>
    <n v="31000"/>
    <n v="1300000"/>
    <n v="1441500"/>
    <n v="55.6"/>
    <n v="99.3"/>
    <n v="83.5"/>
    <n v="89.7"/>
    <x v="30"/>
    <x v="35"/>
    <s v="Exceeds Target"/>
    <s v="Yes"/>
    <n v="0.15"/>
    <n v="4650"/>
  </r>
  <r>
    <s v="E037"/>
    <x v="36"/>
    <s v="Finance"/>
    <n v="41500"/>
    <n v="1290000"/>
    <n v="1168400"/>
    <n v="66.5"/>
    <n v="96.1"/>
    <n v="79.2"/>
    <n v="84.3"/>
    <x v="13"/>
    <x v="36"/>
    <s v="Near Target"/>
    <s v="No"/>
    <n v="0.05"/>
    <n v="2075"/>
  </r>
  <r>
    <s v="E038"/>
    <x v="37"/>
    <s v="Finance"/>
    <n v="37000"/>
    <n v="1220000"/>
    <n v="1434400"/>
    <n v="88.9"/>
    <n v="100"/>
    <n v="81.5"/>
    <n v="78.5"/>
    <x v="5"/>
    <x v="37"/>
    <s v="Exceeds Target"/>
    <s v="Yes"/>
    <n v="0.15"/>
    <n v="5550"/>
  </r>
  <r>
    <s v="E039"/>
    <x v="38"/>
    <s v="Finance"/>
    <n v="33500"/>
    <n v="1100000"/>
    <n v="1040700"/>
    <n v="85.7"/>
    <n v="98.1"/>
    <n v="65.3"/>
    <n v="84.1"/>
    <x v="31"/>
    <x v="38"/>
    <s v="Near Target"/>
    <s v="No"/>
    <n v="0.05"/>
    <n v="1675"/>
  </r>
  <r>
    <s v="E040"/>
    <x v="39"/>
    <s v="Finance"/>
    <n v="44000"/>
    <n v="1260000"/>
    <n v="1599800"/>
    <n v="79.8"/>
    <n v="97.7"/>
    <n v="84.9"/>
    <n v="91.6"/>
    <x v="5"/>
    <x v="39"/>
    <s v="Outstanding"/>
    <s v="Yes"/>
    <n v="0.2"/>
    <n v="8800"/>
  </r>
  <r>
    <s v="E041"/>
    <x v="40"/>
    <s v="IT"/>
    <n v="56000"/>
    <n v="740000"/>
    <n v="617300"/>
    <n v="74.8"/>
    <n v="94.1"/>
    <n v="64.7"/>
    <n v="81.8"/>
    <x v="32"/>
    <x v="40"/>
    <s v="Below Target"/>
    <s v="No"/>
    <n v="0"/>
    <n v="0"/>
  </r>
  <r>
    <s v="E042"/>
    <x v="41"/>
    <s v="IT"/>
    <n v="52000"/>
    <n v="830000"/>
    <n v="851200"/>
    <n v="98.1"/>
    <n v="95.6"/>
    <n v="86.3"/>
    <n v="93.3"/>
    <x v="33"/>
    <x v="41"/>
    <s v="Meets Target"/>
    <s v="Yes"/>
    <n v="0.1"/>
    <n v="5200"/>
  </r>
  <r>
    <s v="E043"/>
    <x v="42"/>
    <s v="IT"/>
    <n v="60000"/>
    <n v="920000"/>
    <n v="741900"/>
    <n v="80.5"/>
    <n v="100"/>
    <n v="79.2"/>
    <n v="92.9"/>
    <x v="13"/>
    <x v="42"/>
    <s v="Below Target"/>
    <s v="No"/>
    <n v="0"/>
    <n v="0"/>
  </r>
  <r>
    <s v="E044"/>
    <x v="43"/>
    <s v="IT"/>
    <n v="51500"/>
    <n v="670000"/>
    <n v="772800"/>
    <n v="68.7"/>
    <n v="95.2"/>
    <n v="81.5"/>
    <n v="86.6"/>
    <x v="34"/>
    <x v="43"/>
    <s v="Exceeds Target"/>
    <s v="Yes"/>
    <n v="0.15"/>
    <n v="7725"/>
  </r>
  <r>
    <s v="E045"/>
    <x v="44"/>
    <s v="IT"/>
    <n v="37500"/>
    <n v="690000"/>
    <n v="582500"/>
    <n v="71.900000000000006"/>
    <n v="92.1"/>
    <n v="79"/>
    <n v="93.5"/>
    <x v="35"/>
    <x v="44"/>
    <s v="Below Target"/>
    <s v="No"/>
    <n v="0"/>
    <n v="0"/>
  </r>
  <r>
    <s v="E046"/>
    <x v="45"/>
    <s v="IT"/>
    <n v="35500"/>
    <n v="790000"/>
    <n v="1032600"/>
    <n v="94.6"/>
    <n v="97.4"/>
    <n v="70"/>
    <n v="80.7"/>
    <x v="5"/>
    <x v="45"/>
    <s v="Outstanding"/>
    <s v="Yes"/>
    <n v="0.2"/>
    <n v="7100"/>
  </r>
  <r>
    <s v="E047"/>
    <x v="46"/>
    <s v="IT"/>
    <n v="62500"/>
    <n v="680000"/>
    <n v="692100"/>
    <n v="76.3"/>
    <n v="96.3"/>
    <n v="87.2"/>
    <n v="88.3"/>
    <x v="36"/>
    <x v="46"/>
    <s v="Meets Target"/>
    <s v="Yes"/>
    <n v="0.1"/>
    <n v="6250"/>
  </r>
  <r>
    <s v="E048"/>
    <x v="47"/>
    <s v="IT"/>
    <n v="45000"/>
    <n v="670000"/>
    <n v="780200"/>
    <n v="73.900000000000006"/>
    <n v="97.7"/>
    <n v="73"/>
    <n v="76.5"/>
    <x v="37"/>
    <x v="47"/>
    <s v="Exceeds Target"/>
    <s v="Yes"/>
    <n v="0.15"/>
    <n v="6750"/>
  </r>
  <r>
    <s v="E049"/>
    <x v="48"/>
    <s v="IT"/>
    <n v="37000"/>
    <n v="660000"/>
    <n v="710000"/>
    <n v="92.9"/>
    <n v="96"/>
    <n v="80.2"/>
    <n v="86.5"/>
    <x v="38"/>
    <x v="48"/>
    <s v="Meets Target"/>
    <s v="Yes"/>
    <n v="0.1"/>
    <n v="3700"/>
  </r>
  <r>
    <s v="E050"/>
    <x v="49"/>
    <s v="IT"/>
    <n v="62500"/>
    <n v="910000"/>
    <n v="914100"/>
    <n v="71.900000000000006"/>
    <n v="89"/>
    <n v="79.2"/>
    <n v="84.6"/>
    <x v="39"/>
    <x v="49"/>
    <s v="Meets Target"/>
    <s v="No"/>
    <n v="0.1"/>
    <n v="6250"/>
  </r>
  <r>
    <s v="E051"/>
    <x v="50"/>
    <s v="HR"/>
    <n v="44500"/>
    <n v="840000"/>
    <n v="824900"/>
    <n v="88.1"/>
    <n v="93.1"/>
    <n v="85.6"/>
    <n v="82.8"/>
    <x v="40"/>
    <x v="50"/>
    <s v="Near Target"/>
    <s v="Yes"/>
    <n v="0.05"/>
    <n v="2225"/>
  </r>
  <r>
    <s v="E052"/>
    <x v="51"/>
    <s v="HR"/>
    <n v="41500"/>
    <n v="730000"/>
    <n v="955000"/>
    <n v="82.7"/>
    <n v="100"/>
    <n v="83.5"/>
    <n v="82.3"/>
    <x v="5"/>
    <x v="51"/>
    <s v="Outstanding"/>
    <s v="Yes"/>
    <n v="0.2"/>
    <n v="8300"/>
  </r>
  <r>
    <s v="E053"/>
    <x v="52"/>
    <s v="HR"/>
    <n v="30000"/>
    <n v="610000"/>
    <n v="499000"/>
    <n v="69"/>
    <n v="90"/>
    <n v="71.2"/>
    <n v="87.2"/>
    <x v="41"/>
    <x v="52"/>
    <s v="Below Target"/>
    <s v="No"/>
    <n v="0"/>
    <n v="0"/>
  </r>
  <r>
    <s v="E054"/>
    <x v="53"/>
    <s v="HR"/>
    <n v="46500"/>
    <n v="760000"/>
    <n v="672800"/>
    <n v="83.7"/>
    <n v="99.1"/>
    <n v="79.099999999999994"/>
    <n v="99"/>
    <x v="42"/>
    <x v="53"/>
    <s v="Below Target"/>
    <s v="No"/>
    <n v="0"/>
    <n v="0"/>
  </r>
  <r>
    <s v="E055"/>
    <x v="54"/>
    <s v="HR"/>
    <n v="43000"/>
    <n v="840000"/>
    <n v="645400"/>
    <n v="80.599999999999994"/>
    <n v="91.8"/>
    <n v="89.4"/>
    <n v="66.099999999999994"/>
    <x v="6"/>
    <x v="54"/>
    <s v="Below Target"/>
    <s v="No"/>
    <n v="0"/>
    <n v="0"/>
  </r>
  <r>
    <s v="E056"/>
    <x v="55"/>
    <s v="HR"/>
    <n v="34000"/>
    <n v="750000"/>
    <n v="540200"/>
    <n v="81"/>
    <n v="100"/>
    <n v="82.3"/>
    <n v="73.2"/>
    <x v="43"/>
    <x v="55"/>
    <s v="Below Target"/>
    <s v="No"/>
    <n v="0"/>
    <n v="0"/>
  </r>
  <r>
    <s v="E057"/>
    <x v="56"/>
    <s v="HR"/>
    <n v="41000"/>
    <n v="830000"/>
    <n v="634500"/>
    <n v="97.1"/>
    <n v="91.5"/>
    <n v="70.599999999999994"/>
    <n v="95.8"/>
    <x v="44"/>
    <x v="56"/>
    <s v="Below Target"/>
    <s v="No"/>
    <n v="0"/>
    <n v="0"/>
  </r>
  <r>
    <s v="E058"/>
    <x v="57"/>
    <s v="HR"/>
    <n v="32000"/>
    <n v="710000"/>
    <n v="825000"/>
    <n v="93.5"/>
    <n v="90.2"/>
    <n v="64.7"/>
    <n v="85.1"/>
    <x v="45"/>
    <x v="57"/>
    <s v="Exceeds Target"/>
    <s v="Yes"/>
    <n v="0.15"/>
    <n v="4800"/>
  </r>
  <r>
    <s v="E059"/>
    <x v="58"/>
    <s v="Operations"/>
    <n v="37500"/>
    <n v="910000"/>
    <n v="946700"/>
    <n v="85.3"/>
    <n v="99.9"/>
    <n v="62.7"/>
    <n v="90.9"/>
    <x v="46"/>
    <x v="58"/>
    <s v="Meets Target"/>
    <s v="Yes"/>
    <n v="0.1"/>
    <n v="3750"/>
  </r>
  <r>
    <s v="E060"/>
    <x v="59"/>
    <s v="Operations"/>
    <n v="32500"/>
    <n v="910000"/>
    <n v="712200"/>
    <n v="89.7"/>
    <n v="92.1"/>
    <n v="71.900000000000006"/>
    <n v="79.099999999999994"/>
    <x v="47"/>
    <x v="59"/>
    <s v="Below Target"/>
    <s v="No"/>
    <n v="0"/>
    <n v="0"/>
  </r>
  <r>
    <s v="E061"/>
    <x v="60"/>
    <s v="Operations"/>
    <n v="49000"/>
    <n v="790000"/>
    <n v="568600"/>
    <n v="82.4"/>
    <n v="90.9"/>
    <n v="87.9"/>
    <n v="89.1"/>
    <x v="48"/>
    <x v="60"/>
    <s v="Below Target"/>
    <s v="No"/>
    <n v="0"/>
    <n v="0"/>
  </r>
  <r>
    <s v="E062"/>
    <x v="61"/>
    <s v="Operations"/>
    <n v="30500"/>
    <n v="860000"/>
    <n v="1104100"/>
    <n v="85.3"/>
    <n v="96.1"/>
    <n v="94"/>
    <n v="79"/>
    <x v="5"/>
    <x v="61"/>
    <s v="Outstanding"/>
    <s v="Yes"/>
    <n v="0.2"/>
    <n v="6100"/>
  </r>
  <r>
    <s v="E063"/>
    <x v="62"/>
    <s v="Operations"/>
    <n v="34500"/>
    <n v="850000"/>
    <n v="605300"/>
    <n v="83.8"/>
    <n v="88.3"/>
    <n v="99"/>
    <n v="95.6"/>
    <x v="49"/>
    <x v="62"/>
    <s v="Below Target"/>
    <s v="No"/>
    <n v="0"/>
    <n v="0"/>
  </r>
  <r>
    <s v="E064"/>
    <x v="63"/>
    <s v="Operations"/>
    <n v="33000"/>
    <n v="910000"/>
    <n v="1246300"/>
    <n v="82.6"/>
    <n v="96.2"/>
    <n v="75.400000000000006"/>
    <n v="91.1"/>
    <x v="5"/>
    <x v="63"/>
    <s v="Outstanding"/>
    <s v="Yes"/>
    <n v="0.2"/>
    <n v="6600"/>
  </r>
  <r>
    <s v="E065"/>
    <x v="64"/>
    <s v="Operations"/>
    <n v="37000"/>
    <n v="760000"/>
    <n v="578500"/>
    <n v="59.1"/>
    <n v="90.8"/>
    <n v="65.400000000000006"/>
    <n v="95.8"/>
    <x v="50"/>
    <x v="64"/>
    <s v="Below Target"/>
    <s v="No"/>
    <n v="0"/>
    <n v="0"/>
  </r>
  <r>
    <s v="E066"/>
    <x v="65"/>
    <s v="Operations"/>
    <n v="47500"/>
    <n v="680000"/>
    <n v="888600"/>
    <n v="69.400000000000006"/>
    <n v="99.2"/>
    <n v="89.5"/>
    <n v="71.400000000000006"/>
    <x v="5"/>
    <x v="65"/>
    <s v="Outstanding"/>
    <s v="Yes"/>
    <n v="0.2"/>
    <n v="9500"/>
  </r>
  <r>
    <s v="E067"/>
    <x v="66"/>
    <s v="Operations"/>
    <n v="43500"/>
    <n v="910000"/>
    <n v="827900"/>
    <n v="76.8"/>
    <n v="97"/>
    <n v="67.7"/>
    <n v="83.2"/>
    <x v="21"/>
    <x v="66"/>
    <s v="Near Target"/>
    <s v="No"/>
    <n v="0.05"/>
    <n v="2175"/>
  </r>
  <r>
    <s v="E068"/>
    <x v="67"/>
    <s v="Operations"/>
    <n v="39000"/>
    <n v="740000"/>
    <n v="633800"/>
    <n v="86.3"/>
    <n v="93.1"/>
    <n v="74.599999999999994"/>
    <n v="82.3"/>
    <x v="51"/>
    <x v="67"/>
    <s v="Below Target"/>
    <s v="No"/>
    <n v="0"/>
    <n v="0"/>
  </r>
  <r>
    <s v="E069"/>
    <x v="68"/>
    <s v="Operations"/>
    <n v="44000"/>
    <n v="770000"/>
    <n v="1036800"/>
    <n v="78.2"/>
    <n v="89.8"/>
    <n v="85.8"/>
    <n v="82.9"/>
    <x v="5"/>
    <x v="68"/>
    <s v="Outstanding"/>
    <s v="Yes"/>
    <n v="0.2"/>
    <n v="8800"/>
  </r>
  <r>
    <s v="E070"/>
    <x v="69"/>
    <s v="Operations"/>
    <n v="44500"/>
    <n v="670000"/>
    <n v="485900"/>
    <n v="99"/>
    <n v="92.6"/>
    <n v="76.2"/>
    <n v="85.3"/>
    <x v="52"/>
    <x v="69"/>
    <s v="Below Target"/>
    <s v="No"/>
    <n v="0"/>
    <n v="0"/>
  </r>
  <r>
    <s v="E071"/>
    <x v="70"/>
    <s v="Operations"/>
    <n v="44500"/>
    <n v="990000"/>
    <n v="1278500"/>
    <n v="66.900000000000006"/>
    <n v="95.1"/>
    <n v="99"/>
    <n v="85"/>
    <x v="5"/>
    <x v="70"/>
    <s v="Outstanding"/>
    <s v="Yes"/>
    <n v="0.2"/>
    <n v="8900"/>
  </r>
  <r>
    <s v="E072"/>
    <x v="71"/>
    <s v="Operations"/>
    <n v="40000"/>
    <n v="780000"/>
    <n v="591000"/>
    <n v="76.400000000000006"/>
    <n v="94.8"/>
    <n v="93.3"/>
    <n v="81.3"/>
    <x v="53"/>
    <x v="71"/>
    <s v="Below Target"/>
    <s v="No"/>
    <n v="0"/>
    <n v="0"/>
  </r>
  <r>
    <s v="E073"/>
    <x v="72"/>
    <s v="Operations"/>
    <n v="37500"/>
    <n v="940000"/>
    <n v="1061100"/>
    <n v="69.099999999999994"/>
    <n v="88.2"/>
    <n v="75.2"/>
    <n v="95.5"/>
    <x v="54"/>
    <x v="72"/>
    <s v="Exceeds Target"/>
    <s v="Yes"/>
    <n v="0.15"/>
    <n v="5625"/>
  </r>
  <r>
    <s v="E074"/>
    <x v="73"/>
    <s v="Operations"/>
    <n v="43000"/>
    <n v="890000"/>
    <n v="883200"/>
    <n v="84.6"/>
    <n v="95.1"/>
    <n v="91.1"/>
    <n v="79.099999999999994"/>
    <x v="40"/>
    <x v="73"/>
    <s v="Near Target"/>
    <s v="Yes"/>
    <n v="0.05"/>
    <n v="2150"/>
  </r>
  <r>
    <s v="E075"/>
    <x v="74"/>
    <s v="Operations"/>
    <n v="39000"/>
    <n v="930000"/>
    <n v="1026600"/>
    <n v="74.5"/>
    <n v="100"/>
    <n v="72"/>
    <n v="76.900000000000006"/>
    <x v="55"/>
    <x v="74"/>
    <s v="Exceeds Target"/>
    <s v="Yes"/>
    <n v="0.15"/>
    <n v="5850"/>
  </r>
  <r>
    <s v="E076"/>
    <x v="75"/>
    <s v="Operations"/>
    <n v="36000"/>
    <n v="760000"/>
    <n v="820000"/>
    <n v="82.7"/>
    <n v="95.3"/>
    <n v="82.3"/>
    <n v="75.3"/>
    <x v="56"/>
    <x v="75"/>
    <s v="Meets Target"/>
    <s v="Yes"/>
    <n v="0.1"/>
    <n v="3600"/>
  </r>
  <r>
    <s v="E077"/>
    <x v="76"/>
    <s v="Marketing"/>
    <n v="31500"/>
    <n v="570000"/>
    <n v="724100"/>
    <n v="90"/>
    <n v="99.4"/>
    <n v="74.7"/>
    <n v="87.3"/>
    <x v="5"/>
    <x v="76"/>
    <s v="Outstanding"/>
    <s v="Yes"/>
    <n v="0.2"/>
    <n v="6300"/>
  </r>
  <r>
    <s v="E078"/>
    <x v="77"/>
    <s v="Marketing"/>
    <n v="33500"/>
    <n v="530000"/>
    <n v="538200"/>
    <n v="92.2"/>
    <n v="98.6"/>
    <n v="81.900000000000006"/>
    <n v="71.900000000000006"/>
    <x v="57"/>
    <x v="77"/>
    <s v="Meets Target"/>
    <s v="Yes"/>
    <n v="0.1"/>
    <n v="3350"/>
  </r>
  <r>
    <s v="E079"/>
    <x v="78"/>
    <s v="Marketing"/>
    <n v="37500"/>
    <n v="890000"/>
    <n v="1157300"/>
    <n v="87"/>
    <n v="91.6"/>
    <n v="84.1"/>
    <n v="71.900000000000006"/>
    <x v="5"/>
    <x v="78"/>
    <s v="Outstanding"/>
    <s v="Yes"/>
    <n v="0.2"/>
    <n v="7500"/>
  </r>
  <r>
    <s v="E080"/>
    <x v="79"/>
    <s v="Marketing"/>
    <n v="45500"/>
    <n v="670000"/>
    <n v="783900"/>
    <n v="68.8"/>
    <n v="93.1"/>
    <n v="82.4"/>
    <n v="92.3"/>
    <x v="58"/>
    <x v="79"/>
    <s v="Exceeds Target"/>
    <s v="Yes"/>
    <n v="0.15"/>
    <n v="6825"/>
  </r>
  <r>
    <s v="E081"/>
    <x v="80"/>
    <s v="Marketing"/>
    <n v="33500"/>
    <n v="860000"/>
    <n v="859300"/>
    <n v="87.7"/>
    <n v="93.9"/>
    <n v="79.7"/>
    <n v="84.7"/>
    <x v="59"/>
    <x v="80"/>
    <s v="Near Target"/>
    <s v="Yes"/>
    <n v="0.05"/>
    <n v="1675"/>
  </r>
  <r>
    <s v="E082"/>
    <x v="81"/>
    <s v="Marketing"/>
    <n v="31000"/>
    <n v="630000"/>
    <n v="596000"/>
    <n v="66.8"/>
    <n v="90.9"/>
    <n v="82.4"/>
    <n v="82"/>
    <x v="60"/>
    <x v="81"/>
    <s v="Near Target"/>
    <s v="No"/>
    <n v="0.05"/>
    <n v="1550"/>
  </r>
  <r>
    <s v="E083"/>
    <x v="82"/>
    <s v="Marketing"/>
    <n v="39000"/>
    <n v="720000"/>
    <n v="685400"/>
    <n v="79.099999999999994"/>
    <n v="90.5"/>
    <n v="75.099999999999994"/>
    <n v="81.5"/>
    <x v="61"/>
    <x v="82"/>
    <s v="Near Target"/>
    <s v="No"/>
    <n v="0.05"/>
    <n v="1950"/>
  </r>
  <r>
    <s v="E084"/>
    <x v="83"/>
    <s v="Marketing"/>
    <n v="42000"/>
    <n v="760000"/>
    <n v="745500"/>
    <n v="85.5"/>
    <n v="93.3"/>
    <n v="69.7"/>
    <n v="72.8"/>
    <x v="15"/>
    <x v="83"/>
    <s v="Near Target"/>
    <s v="No"/>
    <n v="0.05"/>
    <n v="2100"/>
  </r>
  <r>
    <s v="E085"/>
    <x v="84"/>
    <s v="Marketing"/>
    <n v="35000"/>
    <n v="520000"/>
    <n v="752700"/>
    <n v="71.8"/>
    <n v="91.9"/>
    <n v="85.2"/>
    <n v="86.9"/>
    <x v="5"/>
    <x v="84"/>
    <s v="Outstanding"/>
    <s v="Yes"/>
    <n v="0.2"/>
    <n v="7000"/>
  </r>
  <r>
    <s v="E086"/>
    <x v="85"/>
    <s v="Marketing"/>
    <n v="42000"/>
    <n v="700000"/>
    <n v="751600"/>
    <n v="78"/>
    <n v="95"/>
    <n v="80.599999999999994"/>
    <n v="81.5"/>
    <x v="62"/>
    <x v="85"/>
    <s v="Meets Target"/>
    <s v="Yes"/>
    <n v="0.1"/>
    <n v="4200"/>
  </r>
  <r>
    <s v="E087"/>
    <x v="86"/>
    <s v="Customer Service"/>
    <n v="32000"/>
    <n v="580000"/>
    <n v="594000"/>
    <n v="91.5"/>
    <n v="93.9"/>
    <n v="79.8"/>
    <n v="92.5"/>
    <x v="63"/>
    <x v="86"/>
    <s v="Meets Target"/>
    <s v="Yes"/>
    <n v="0.1"/>
    <n v="3200"/>
  </r>
  <r>
    <s v="E088"/>
    <x v="87"/>
    <s v="Customer Service"/>
    <n v="39000"/>
    <n v="640000"/>
    <n v="737900"/>
    <n v="96.3"/>
    <n v="87"/>
    <n v="89.1"/>
    <n v="88.8"/>
    <x v="5"/>
    <x v="87"/>
    <s v="Exceeds Target"/>
    <s v="Yes"/>
    <n v="0.15"/>
    <n v="5850"/>
  </r>
  <r>
    <s v="E089"/>
    <x v="88"/>
    <s v="Customer Service"/>
    <n v="29000"/>
    <n v="460000"/>
    <n v="377500"/>
    <n v="84.3"/>
    <n v="98.2"/>
    <n v="71.7"/>
    <n v="87.5"/>
    <x v="64"/>
    <x v="88"/>
    <s v="Below Target"/>
    <s v="No"/>
    <n v="0"/>
    <n v="0"/>
  </r>
  <r>
    <s v="E090"/>
    <x v="89"/>
    <s v="Customer Service"/>
    <n v="36000"/>
    <n v="740000"/>
    <n v="841300"/>
    <n v="72.400000000000006"/>
    <n v="93.4"/>
    <n v="83"/>
    <n v="77.599999999999994"/>
    <x v="65"/>
    <x v="89"/>
    <s v="Exceeds Target"/>
    <s v="Yes"/>
    <n v="0.15"/>
    <n v="5400"/>
  </r>
  <r>
    <s v="E091"/>
    <x v="90"/>
    <s v="Customer Service"/>
    <n v="39500"/>
    <n v="540000"/>
    <n v="443700"/>
    <n v="80.8"/>
    <n v="97.2"/>
    <n v="86.4"/>
    <n v="77.099999999999994"/>
    <x v="66"/>
    <x v="90"/>
    <s v="Below Target"/>
    <s v="No"/>
    <n v="0"/>
    <n v="0"/>
  </r>
  <r>
    <s v="E092"/>
    <x v="91"/>
    <s v="Customer Service"/>
    <n v="33500"/>
    <n v="720000"/>
    <n v="790100"/>
    <n v="74.5"/>
    <n v="87.6"/>
    <n v="76.3"/>
    <n v="93"/>
    <x v="67"/>
    <x v="91"/>
    <s v="Meets Target"/>
    <s v="Yes"/>
    <n v="0.1"/>
    <n v="3350"/>
  </r>
  <r>
    <s v="E093"/>
    <x v="92"/>
    <s v="Customer Service"/>
    <n v="27500"/>
    <n v="610000"/>
    <n v="669800"/>
    <n v="82"/>
    <n v="92.3"/>
    <n v="76.099999999999994"/>
    <n v="84.9"/>
    <x v="68"/>
    <x v="92"/>
    <s v="Meets Target"/>
    <s v="Yes"/>
    <n v="0.1"/>
    <n v="2750"/>
  </r>
  <r>
    <s v="E094"/>
    <x v="93"/>
    <s v="Customer Service"/>
    <n v="32000"/>
    <n v="560000"/>
    <n v="441100"/>
    <n v="78.900000000000006"/>
    <n v="93.1"/>
    <n v="66.5"/>
    <n v="77.3"/>
    <x v="69"/>
    <x v="93"/>
    <s v="Below Target"/>
    <s v="No"/>
    <n v="0"/>
    <n v="0"/>
  </r>
  <r>
    <s v="E095"/>
    <x v="94"/>
    <s v="Customer Service"/>
    <n v="33000"/>
    <n v="530000"/>
    <n v="558600"/>
    <n v="82.1"/>
    <n v="92.8"/>
    <n v="70.900000000000006"/>
    <n v="96.6"/>
    <x v="7"/>
    <x v="94"/>
    <s v="Meets Target"/>
    <s v="Yes"/>
    <n v="0.1"/>
    <n v="3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ค่า" updatedVersion="5" minRefreshableVersion="3" useAutoFormatting="1" itemPrintTitles="1" createdVersion="5" indent="0" outline="1" outlineData="1" multipleFieldFilters="0">
  <location ref="P20:S26" firstHeaderRow="0" firstDataRow="1" firstDataCol="1"/>
  <pivotFields count="22">
    <pivotField showAll="0"/>
    <pivotField numFmtId="164" showAll="0"/>
    <pivotField showAll="0"/>
    <pivotField showAll="0"/>
    <pivotField showAll="0"/>
    <pivotField numFmtId="4" showAll="0"/>
    <pivotField numFmtId="2" showAll="0"/>
    <pivotField dataField="1" numFmtId="4" showAll="0"/>
    <pivotField dataField="1" numFmtId="43" showAll="0"/>
    <pivotField dataField="1" numFmtId="4" showAll="0">
      <items count="159">
        <item x="81"/>
        <item x="118"/>
        <item x="142"/>
        <item x="111"/>
        <item x="148"/>
        <item x="103"/>
        <item x="100"/>
        <item x="74"/>
        <item x="121"/>
        <item x="137"/>
        <item x="49"/>
        <item x="84"/>
        <item x="60"/>
        <item x="147"/>
        <item x="58"/>
        <item x="25"/>
        <item x="119"/>
        <item x="124"/>
        <item x="4"/>
        <item x="0"/>
        <item x="109"/>
        <item x="107"/>
        <item x="82"/>
        <item x="77"/>
        <item x="75"/>
        <item x="14"/>
        <item x="44"/>
        <item x="57"/>
        <item x="140"/>
        <item x="99"/>
        <item x="129"/>
        <item x="47"/>
        <item x="3"/>
        <item x="17"/>
        <item x="43"/>
        <item x="46"/>
        <item x="153"/>
        <item x="96"/>
        <item x="115"/>
        <item x="63"/>
        <item x="64"/>
        <item x="33"/>
        <item x="86"/>
        <item x="83"/>
        <item x="138"/>
        <item x="102"/>
        <item x="55"/>
        <item x="65"/>
        <item x="39"/>
        <item x="72"/>
        <item x="114"/>
        <item x="48"/>
        <item x="113"/>
        <item x="90"/>
        <item x="24"/>
        <item x="62"/>
        <item x="5"/>
        <item x="132"/>
        <item x="1"/>
        <item x="6"/>
        <item x="50"/>
        <item x="51"/>
        <item x="154"/>
        <item x="2"/>
        <item x="95"/>
        <item x="80"/>
        <item x="67"/>
        <item x="54"/>
        <item x="52"/>
        <item x="116"/>
        <item x="23"/>
        <item x="9"/>
        <item x="106"/>
        <item x="13"/>
        <item x="76"/>
        <item x="126"/>
        <item x="29"/>
        <item x="31"/>
        <item x="104"/>
        <item x="45"/>
        <item x="89"/>
        <item x="21"/>
        <item x="150"/>
        <item x="135"/>
        <item x="122"/>
        <item x="110"/>
        <item x="10"/>
        <item x="156"/>
        <item x="27"/>
        <item x="70"/>
        <item x="127"/>
        <item x="134"/>
        <item x="128"/>
        <item x="133"/>
        <item x="139"/>
        <item x="87"/>
        <item x="136"/>
        <item x="7"/>
        <item x="78"/>
        <item x="71"/>
        <item x="26"/>
        <item x="117"/>
        <item x="35"/>
        <item x="146"/>
        <item x="144"/>
        <item x="66"/>
        <item x="11"/>
        <item x="73"/>
        <item x="79"/>
        <item x="34"/>
        <item x="152"/>
        <item x="143"/>
        <item x="123"/>
        <item x="8"/>
        <item x="30"/>
        <item x="36"/>
        <item x="105"/>
        <item x="40"/>
        <item x="120"/>
        <item x="69"/>
        <item x="28"/>
        <item x="101"/>
        <item x="91"/>
        <item x="59"/>
        <item x="12"/>
        <item x="68"/>
        <item x="157"/>
        <item x="37"/>
        <item x="93"/>
        <item x="130"/>
        <item x="41"/>
        <item x="38"/>
        <item x="22"/>
        <item x="85"/>
        <item x="149"/>
        <item x="97"/>
        <item x="125"/>
        <item x="20"/>
        <item x="151"/>
        <item x="98"/>
        <item x="42"/>
        <item x="53"/>
        <item x="18"/>
        <item x="145"/>
        <item x="92"/>
        <item x="19"/>
        <item x="94"/>
        <item x="32"/>
        <item x="16"/>
        <item x="108"/>
        <item x="15"/>
        <item x="155"/>
        <item x="56"/>
        <item x="61"/>
        <item x="141"/>
        <item x="112"/>
        <item x="131"/>
        <item x="88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43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ผลรวม ของ Profit" fld="9" baseField="0" baseItem="0"/>
    <dataField name="ผลรวม ของ Sales_Amount" fld="7" baseField="0" baseItem="0"/>
    <dataField name="ผลรวม ของ Cost_Amount" fld="8" baseField="0" baseItem="0"/>
  </dataFields>
  <formats count="1">
    <format dxfId="8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ค่า" updatedVersion="5" minRefreshableVersion="3" useAutoFormatting="1" itemPrintTitles="1" createdVersion="5" indent="0" outline="1" outlineData="1" multipleFieldFilters="0">
  <location ref="M48:O65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ค่า" updatedVersion="5" minRefreshableVersion="3" useAutoFormatting="1" itemPrintTitles="1" createdVersion="5" indent="0" outline="1" outlineData="1" multipleFieldFilters="0" rowHeaderCaption="(ชื่อ)">
  <location ref="P5:P13" firstHeaderRow="1" firstDataRow="1" firstDataCol="1" rowPageCount="1" colPageCount="1"/>
  <pivotFields count="22">
    <pivotField showAll="0">
      <items count="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umFmtId="164" showAll="0"/>
    <pivotField showAll="0">
      <items count="83">
        <item x="11"/>
        <item x="52"/>
        <item x="4"/>
        <item x="29"/>
        <item x="79"/>
        <item x="30"/>
        <item x="49"/>
        <item x="10"/>
        <item x="7"/>
        <item x="38"/>
        <item x="14"/>
        <item x="32"/>
        <item x="70"/>
        <item x="50"/>
        <item x="6"/>
        <item x="68"/>
        <item x="61"/>
        <item x="78"/>
        <item x="57"/>
        <item x="19"/>
        <item x="33"/>
        <item x="42"/>
        <item x="46"/>
        <item x="74"/>
        <item x="9"/>
        <item x="62"/>
        <item x="66"/>
        <item x="75"/>
        <item x="12"/>
        <item x="58"/>
        <item x="45"/>
        <item x="51"/>
        <item x="67"/>
        <item x="17"/>
        <item x="59"/>
        <item x="39"/>
        <item x="2"/>
        <item x="1"/>
        <item x="69"/>
        <item x="20"/>
        <item x="24"/>
        <item x="28"/>
        <item x="8"/>
        <item x="23"/>
        <item x="77"/>
        <item x="31"/>
        <item x="54"/>
        <item x="27"/>
        <item x="47"/>
        <item x="64"/>
        <item x="73"/>
        <item x="26"/>
        <item x="34"/>
        <item x="53"/>
        <item x="44"/>
        <item x="43"/>
        <item x="21"/>
        <item x="40"/>
        <item x="56"/>
        <item x="0"/>
        <item x="36"/>
        <item x="65"/>
        <item x="37"/>
        <item x="16"/>
        <item x="22"/>
        <item x="71"/>
        <item x="25"/>
        <item x="35"/>
        <item x="72"/>
        <item x="3"/>
        <item x="13"/>
        <item x="18"/>
        <item x="5"/>
        <item x="81"/>
        <item x="80"/>
        <item x="60"/>
        <item x="63"/>
        <item x="48"/>
        <item x="41"/>
        <item x="76"/>
        <item x="55"/>
        <item x="15"/>
        <item t="default"/>
      </items>
    </pivotField>
    <pivotField showAll="0"/>
    <pivotField showAll="0"/>
    <pivotField numFmtId="4" showAll="0"/>
    <pivotField numFmtId="2" showAll="0"/>
    <pivotField numFmtId="4" showAll="0"/>
    <pivotField numFmtId="43" showAll="0"/>
    <pivotField numFmtId="4" showAll="0"/>
    <pivotField showAll="0"/>
    <pivotField showAll="0"/>
    <pivotField showAll="0">
      <items count="83">
        <item x="58"/>
        <item x="73"/>
        <item x="53"/>
        <item x="63"/>
        <item x="80"/>
        <item x="76"/>
        <item x="77"/>
        <item x="56"/>
        <item x="61"/>
        <item x="36"/>
        <item x="28"/>
        <item x="13"/>
        <item x="75"/>
        <item x="5"/>
        <item x="62"/>
        <item x="55"/>
        <item x="41"/>
        <item x="47"/>
        <item x="30"/>
        <item x="45"/>
        <item x="38"/>
        <item x="60"/>
        <item x="3"/>
        <item x="24"/>
        <item x="32"/>
        <item x="26"/>
        <item x="11"/>
        <item x="17"/>
        <item x="21"/>
        <item x="74"/>
        <item x="23"/>
        <item x="42"/>
        <item x="19"/>
        <item x="57"/>
        <item x="29"/>
        <item x="67"/>
        <item x="70"/>
        <item x="43"/>
        <item x="22"/>
        <item x="65"/>
        <item x="8"/>
        <item x="44"/>
        <item x="59"/>
        <item x="48"/>
        <item x="50"/>
        <item x="40"/>
        <item x="71"/>
        <item x="68"/>
        <item x="16"/>
        <item x="27"/>
        <item x="12"/>
        <item x="72"/>
        <item x="2"/>
        <item x="31"/>
        <item x="54"/>
        <item x="14"/>
        <item x="52"/>
        <item x="49"/>
        <item x="6"/>
        <item x="25"/>
        <item x="37"/>
        <item x="64"/>
        <item x="69"/>
        <item x="66"/>
        <item x="1"/>
        <item x="34"/>
        <item x="15"/>
        <item x="33"/>
        <item x="10"/>
        <item x="39"/>
        <item x="46"/>
        <item x="35"/>
        <item x="7"/>
        <item x="79"/>
        <item x="9"/>
        <item x="20"/>
        <item x="81"/>
        <item x="78"/>
        <item x="0"/>
        <item x="51"/>
        <item x="4"/>
        <item x="18"/>
        <item t="default"/>
      </items>
    </pivotField>
    <pivotField axis="axisRow" showAll="0">
      <items count="8">
        <item x="5"/>
        <item x="4"/>
        <item x="6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5" showAll="0"/>
    <pivotField axis="axisPage" numFmtId="43" multipleItemSelectionAllowed="1" showAll="0">
      <items count="159">
        <item x="79"/>
        <item x="115"/>
        <item x="140"/>
        <item x="99"/>
        <item x="107"/>
        <item x="97"/>
        <item x="118"/>
        <item x="73"/>
        <item x="146"/>
        <item x="116"/>
        <item x="134"/>
        <item x="147"/>
        <item x="50"/>
        <item x="26"/>
        <item x="60"/>
        <item x="121"/>
        <item x="103"/>
        <item x="4"/>
        <item x="80"/>
        <item x="96"/>
        <item x="45"/>
        <item x="0"/>
        <item x="44"/>
        <item x="58"/>
        <item x="112"/>
        <item x="76"/>
        <item x="47"/>
        <item x="14"/>
        <item x="57"/>
        <item x="81"/>
        <item x="74"/>
        <item x="137"/>
        <item x="125"/>
        <item x="34"/>
        <item x="105"/>
        <item x="64"/>
        <item x="48"/>
        <item x="65"/>
        <item x="40"/>
        <item x="3"/>
        <item x="17"/>
        <item x="98"/>
        <item x="63"/>
        <item x="83"/>
        <item x="49"/>
        <item x="55"/>
        <item x="135"/>
        <item x="1"/>
        <item x="93"/>
        <item x="2"/>
        <item x="52"/>
        <item x="110"/>
        <item x="78"/>
        <item x="128"/>
        <item x="111"/>
        <item x="87"/>
        <item x="51"/>
        <item x="130"/>
        <item x="153"/>
        <item x="5"/>
        <item x="62"/>
        <item x="32"/>
        <item x="67"/>
        <item x="139"/>
        <item x="9"/>
        <item x="149"/>
        <item x="19"/>
        <item x="28"/>
        <item x="122"/>
        <item x="30"/>
        <item x="86"/>
        <item x="75"/>
        <item x="102"/>
        <item x="156"/>
        <item x="6"/>
        <item x="53"/>
        <item x="141"/>
        <item x="152"/>
        <item x="136"/>
        <item x="46"/>
        <item x="100"/>
        <item x="22"/>
        <item x="106"/>
        <item x="131"/>
        <item x="36"/>
        <item x="70"/>
        <item x="123"/>
        <item x="113"/>
        <item x="7"/>
        <item x="145"/>
        <item x="133"/>
        <item x="77"/>
        <item x="71"/>
        <item x="92"/>
        <item x="25"/>
        <item x="13"/>
        <item x="124"/>
        <item x="119"/>
        <item x="151"/>
        <item x="66"/>
        <item x="27"/>
        <item x="10"/>
        <item x="132"/>
        <item x="143"/>
        <item x="41"/>
        <item x="109"/>
        <item x="129"/>
        <item x="117"/>
        <item x="8"/>
        <item x="12"/>
        <item x="72"/>
        <item x="101"/>
        <item x="31"/>
        <item x="84"/>
        <item x="24"/>
        <item x="68"/>
        <item x="42"/>
        <item x="114"/>
        <item x="29"/>
        <item x="59"/>
        <item x="11"/>
        <item x="142"/>
        <item x="69"/>
        <item x="157"/>
        <item x="23"/>
        <item x="35"/>
        <item x="120"/>
        <item x="94"/>
        <item x="148"/>
        <item x="126"/>
        <item x="37"/>
        <item x="88"/>
        <item x="21"/>
        <item x="154"/>
        <item x="39"/>
        <item x="43"/>
        <item x="38"/>
        <item x="144"/>
        <item x="89"/>
        <item x="150"/>
        <item x="54"/>
        <item x="155"/>
        <item x="18"/>
        <item x="56"/>
        <item x="95"/>
        <item x="82"/>
        <item x="16"/>
        <item x="90"/>
        <item x="91"/>
        <item x="61"/>
        <item x="20"/>
        <item x="138"/>
        <item x="127"/>
        <item x="108"/>
        <item x="85"/>
        <item x="33"/>
        <item x="104"/>
        <item x="15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ค่า" updatedVersion="5" minRefreshableVersion="3" useAutoFormatting="1" itemPrintTitles="1" createdVersion="5" indent="0" outline="1" outlineData="1" multipleFieldFilters="0">
  <location ref="P29:S33" firstHeaderRow="0" firstDataRow="1" firstDataCol="1"/>
  <pivotFields count="22">
    <pivotField showAll="0"/>
    <pivotField numFmtId="164" showAll="0"/>
    <pivotField showAll="0"/>
    <pivotField showAll="0"/>
    <pivotField showAll="0"/>
    <pivotField numFmtId="4" showAll="0"/>
    <pivotField numFmtId="2" showAll="0"/>
    <pivotField dataField="1" numFmtId="4" showAll="0"/>
    <pivotField dataField="1" numFmtId="43" showAll="0"/>
    <pivotField dataField="1" numFmtId="4" showAll="0">
      <items count="159">
        <item x="81"/>
        <item x="118"/>
        <item x="142"/>
        <item x="111"/>
        <item x="148"/>
        <item x="103"/>
        <item x="100"/>
        <item x="74"/>
        <item x="121"/>
        <item x="137"/>
        <item x="49"/>
        <item x="84"/>
        <item x="60"/>
        <item x="147"/>
        <item x="58"/>
        <item x="25"/>
        <item x="119"/>
        <item x="124"/>
        <item x="4"/>
        <item x="0"/>
        <item x="109"/>
        <item x="107"/>
        <item x="82"/>
        <item x="77"/>
        <item x="75"/>
        <item x="14"/>
        <item x="44"/>
        <item x="57"/>
        <item x="140"/>
        <item x="99"/>
        <item x="129"/>
        <item x="47"/>
        <item x="3"/>
        <item x="17"/>
        <item x="43"/>
        <item x="46"/>
        <item x="153"/>
        <item x="96"/>
        <item x="115"/>
        <item x="63"/>
        <item x="64"/>
        <item x="33"/>
        <item x="86"/>
        <item x="83"/>
        <item x="138"/>
        <item x="102"/>
        <item x="55"/>
        <item x="65"/>
        <item x="39"/>
        <item x="72"/>
        <item x="114"/>
        <item x="48"/>
        <item x="113"/>
        <item x="90"/>
        <item x="24"/>
        <item x="62"/>
        <item x="5"/>
        <item x="132"/>
        <item x="1"/>
        <item x="6"/>
        <item x="50"/>
        <item x="51"/>
        <item x="154"/>
        <item x="2"/>
        <item x="95"/>
        <item x="80"/>
        <item x="67"/>
        <item x="54"/>
        <item x="52"/>
        <item x="116"/>
        <item x="23"/>
        <item x="9"/>
        <item x="106"/>
        <item x="13"/>
        <item x="76"/>
        <item x="126"/>
        <item x="29"/>
        <item x="31"/>
        <item x="104"/>
        <item x="45"/>
        <item x="89"/>
        <item x="21"/>
        <item x="150"/>
        <item x="135"/>
        <item x="122"/>
        <item x="110"/>
        <item x="10"/>
        <item x="156"/>
        <item x="27"/>
        <item x="70"/>
        <item x="127"/>
        <item x="134"/>
        <item x="128"/>
        <item x="133"/>
        <item x="139"/>
        <item x="87"/>
        <item x="136"/>
        <item x="7"/>
        <item x="78"/>
        <item x="71"/>
        <item x="26"/>
        <item x="117"/>
        <item x="35"/>
        <item x="146"/>
        <item x="144"/>
        <item x="66"/>
        <item x="11"/>
        <item x="73"/>
        <item x="79"/>
        <item x="34"/>
        <item x="152"/>
        <item x="143"/>
        <item x="123"/>
        <item x="8"/>
        <item x="30"/>
        <item x="36"/>
        <item x="105"/>
        <item x="40"/>
        <item x="120"/>
        <item x="69"/>
        <item x="28"/>
        <item x="101"/>
        <item x="91"/>
        <item x="59"/>
        <item x="12"/>
        <item x="68"/>
        <item x="157"/>
        <item x="37"/>
        <item x="93"/>
        <item x="130"/>
        <item x="41"/>
        <item x="38"/>
        <item x="22"/>
        <item x="85"/>
        <item x="149"/>
        <item x="97"/>
        <item x="125"/>
        <item x="20"/>
        <item x="151"/>
        <item x="98"/>
        <item x="42"/>
        <item x="53"/>
        <item x="18"/>
        <item x="145"/>
        <item x="92"/>
        <item x="19"/>
        <item x="94"/>
        <item x="32"/>
        <item x="16"/>
        <item x="108"/>
        <item x="15"/>
        <item x="155"/>
        <item x="56"/>
        <item x="61"/>
        <item x="141"/>
        <item x="112"/>
        <item x="131"/>
        <item x="88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>
      <items count="8">
        <item x="5"/>
        <item x="4"/>
        <item x="6"/>
        <item x="1"/>
        <item x="2"/>
        <item x="0"/>
        <item x="3"/>
        <item t="default"/>
      </items>
    </pivotField>
    <pivotField showAll="0">
      <items count="49">
        <item x="38"/>
        <item x="31"/>
        <item x="25"/>
        <item x="13"/>
        <item x="5"/>
        <item x="11"/>
        <item x="47"/>
        <item x="34"/>
        <item x="20"/>
        <item x="45"/>
        <item x="26"/>
        <item x="37"/>
        <item x="7"/>
        <item x="41"/>
        <item x="10"/>
        <item x="9"/>
        <item x="16"/>
        <item x="43"/>
        <item x="23"/>
        <item x="35"/>
        <item x="8"/>
        <item x="17"/>
        <item x="30"/>
        <item x="18"/>
        <item x="12"/>
        <item x="3"/>
        <item x="0"/>
        <item x="2"/>
        <item x="6"/>
        <item x="19"/>
        <item x="4"/>
        <item x="40"/>
        <item x="39"/>
        <item x="44"/>
        <item x="21"/>
        <item x="14"/>
        <item x="27"/>
        <item x="24"/>
        <item x="29"/>
        <item x="46"/>
        <item x="28"/>
        <item x="32"/>
        <item x="15"/>
        <item x="22"/>
        <item x="42"/>
        <item x="36"/>
        <item x="1"/>
        <item x="3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5" showAll="0"/>
    <pivotField numFmtId="165" showAll="0"/>
    <pivotField numFmtId="43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ผลรวม ของ Profit" fld="9" baseField="0" baseItem="0"/>
    <dataField name="ผลรวม ของ Sales_Amount" fld="7" baseField="0" baseItem="0"/>
    <dataField name="ผลรวม ของ Cost_Amount" fld="8" baseField="0" baseItem="0"/>
  </dataFields>
  <formats count="1">
    <format dxfId="8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" displayName="Sales" ref="A1:Y181" totalsRowShown="0" headerRowDxfId="214" headerRowBorderDxfId="213" tableBorderDxfId="212" totalsRowBorderDxfId="211">
  <autoFilter ref="A1:Y181"/>
  <tableColumns count="25">
    <tableColumn id="1" name="Sale_ID" dataDxfId="210"/>
    <tableColumn id="2" name="Sale_Date" dataDxfId="209"/>
    <tableColumn id="13" name="Month" dataDxfId="208">
      <calculatedColumnFormula>MONTH(Sales[[#This Row],[Sale_Date]])</calculatedColumnFormula>
    </tableColumn>
    <tableColumn id="25" name="Month*" dataDxfId="207">
      <calculatedColumnFormula>CHOOSE(C2,"January","February","March","April","May","June","July","August","September","October","November","December")</calculatedColumnFormula>
    </tableColumn>
    <tableColumn id="3" name="Employee_ID" dataDxfId="206"/>
    <tableColumn id="4" name="Customer_ID" dataDxfId="205"/>
    <tableColumn id="5" name="Product_ID" dataDxfId="204"/>
    <tableColumn id="6" name="Quantity" dataDxfId="203"/>
    <tableColumn id="7" name="Discount" dataDxfId="202" dataCellStyle="เปอร์เซ็นต์"/>
    <tableColumn id="8" name="Sales_Amount" dataDxfId="201"/>
    <tableColumn id="9" name="Cost_Amount" dataDxfId="200" dataCellStyle="เครื่องหมายจุลภาค"/>
    <tableColumn id="10" name="Profit" dataDxfId="199"/>
    <tableColumn id="11" name="Region" dataDxfId="198"/>
    <tableColumn id="12" name="Order_Status" dataDxfId="197"/>
    <tableColumn id="14" name="Employee_Name" dataDxfId="196">
      <calculatedColumnFormula>INDEX(Employees[#All],MATCH(Sales[[#This Row],[Employee_ID]],Employees[[#All],[Employee_ID]],0),MATCH(Sales[[#Headers],[Employee_Name]],Employees[#Headers],0))</calculatedColumnFormula>
    </tableColumn>
    <tableColumn id="15" name="Department" dataDxfId="195">
      <calculatedColumnFormula>INDEX(Employees[#All],MATCH(Sales[[#This Row],[Employee_ID]],Employees[[#All],[Employee_ID]],0),MATCH(Sales[[#Headers],[Department]],Employees[#Headers],0))</calculatedColumnFormula>
    </tableColumn>
    <tableColumn id="16" name="Customer_Name" dataDxfId="194">
      <calculatedColumnFormula>VLOOKUP(Sales[[#This Row],[Customer_ID]],Customer[#All],MATCH(Sales[[#Headers],[Customer_Name]],Customer[#Headers],0),FALSE)</calculatedColumnFormula>
    </tableColumn>
    <tableColumn id="17" name="Customer_Segment" dataDxfId="193">
      <calculatedColumnFormula>VLOOKUP(Sales[[#This Row],[Customer_ID]],Customer[#All],MATCH(Sales[[#Headers],[Customer_Segment]],Customer[#Headers],0),FALSE)</calculatedColumnFormula>
    </tableColumn>
    <tableColumn id="18" name="Customer_Tier" dataDxfId="192">
      <calculatedColumnFormula>VLOOKUP(Sales[[#This Row],[Customer_ID]],Customer[#All],MATCH(Sales[[#Headers],[Customer_Tier]],Customer[#Headers],0),FALSE)</calculatedColumnFormula>
    </tableColumn>
    <tableColumn id="19" name="Product_Name" dataDxfId="191">
      <calculatedColumnFormula>INDEX(Product[#All],MATCH(Sales[[#This Row],[Product_ID]],Product[[#All],[Product_ID]],0),MATCH(Sales[[#Headers],[Product_Name]],Product[#Headers],0))</calculatedColumnFormula>
    </tableColumn>
    <tableColumn id="20" name="Category" dataDxfId="190">
      <calculatedColumnFormula>INDEX(Product[#All],MATCH(Sales[[#This Row],[Product_ID]],Product[[#All],[Product_ID]],0),MATCH(Sales[[#Headers],[Category]],Product[#Headers],0))</calculatedColumnFormula>
    </tableColumn>
    <tableColumn id="21" name="Unit_Cost" dataDxfId="189" dataCellStyle="เครื่องหมายจุลภาค">
      <calculatedColumnFormula>INDEX(Product[#All],MATCH(Sales[[#This Row],[Product_ID]],Product[[#All],[Product_ID]],0),MATCH(Sales[[#Headers],[Unit_Cost]],Product[#Headers],0))</calculatedColumnFormula>
    </tableColumn>
    <tableColumn id="22" name="List_Price" dataDxfId="188" dataCellStyle="เครื่องหมายจุลภาค">
      <calculatedColumnFormula>INDEX(Product[#All],MATCH(Sales[[#This Row],[Product_ID]],Product[[#All],[Product_ID]],0),MATCH("List_Price",Product[#Headers],0))</calculatedColumnFormula>
    </tableColumn>
    <tableColumn id="23" name="Net_Sales" dataDxfId="187" dataCellStyle="เครื่องหมายจุลภาค">
      <calculatedColumnFormula>Sales[[#This Row],[Quantity]]*(Sales[[#This Row],[List_Price]]*(1-Sales[[#This Row],[Discount]]))</calculatedColumnFormula>
    </tableColumn>
    <tableColumn id="24" name="Margin_%" dataDxfId="186">
      <calculatedColumnFormula>Sales[[#This Row],[Profit]]/Sales[[#This Row],[Cost_Amount]]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Employees" displayName="Employees" ref="A1:H96" totalsRowShown="0" headerRowDxfId="185" headerRowBorderDxfId="184" tableBorderDxfId="183" totalsRowBorderDxfId="182">
  <autoFilter ref="A1:H96"/>
  <tableColumns count="8">
    <tableColumn id="1" name="Employee_ID" dataDxfId="181"/>
    <tableColumn id="2" name="Employee_Name" dataDxfId="180"/>
    <tableColumn id="3" name="Department" dataDxfId="179"/>
    <tableColumn id="4" name="Level" dataDxfId="178"/>
    <tableColumn id="5" name="Monthly_Salary" dataDxfId="177" dataCellStyle="เครื่องหมายจุลภาค"/>
    <tableColumn id="6" name="Performance_Target" dataDxfId="176" dataCellStyle="เครื่องหมายจุลภาค"/>
    <tableColumn id="7" name="Net_Sales" dataDxfId="175" dataCellStyle="เครื่องหมายจุลภาค">
      <calculatedColumnFormula>SUMIF(Sales[Employee_Name],Employees[[#This Row],[Employee_Name]],Sales[Net_Sales])</calculatedColumnFormula>
    </tableColumn>
    <tableColumn id="8" name="Profit" dataDxfId="174" dataCellStyle="เครื่องหมายจุลภาค">
      <calculatedColumnFormula>SUMIF(Sales[Employee_Name],Employees[[#This Row],[Employee_Name]],Sales[Profit])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Customer" displayName="Customer" ref="A1:E51" totalsRowShown="0" headerRowDxfId="173" headerRowBorderDxfId="172" tableBorderDxfId="171">
  <autoFilter ref="A1:E51"/>
  <tableColumns count="5">
    <tableColumn id="1" name="Customer_ID" dataDxfId="170"/>
    <tableColumn id="2" name="Customer_Name" dataDxfId="169"/>
    <tableColumn id="3" name="Customer_Segment" dataDxfId="168"/>
    <tableColumn id="4" name="Region" dataDxfId="167"/>
    <tableColumn id="5" name="Customer_Tier" dataDxfId="16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7" name="Product" displayName="Product" ref="A1:J21" totalsRowShown="0" headerRowDxfId="165" headerRowBorderDxfId="164" tableBorderDxfId="163" totalsRowBorderDxfId="162">
  <autoFilter ref="A1:J21"/>
  <tableColumns count="10">
    <tableColumn id="1" name="Product_ID" dataDxfId="161"/>
    <tableColumn id="2" name="Product_Name" dataDxfId="160"/>
    <tableColumn id="3" name="Category" dataDxfId="159"/>
    <tableColumn id="9" name="CountUnit" dataDxfId="158" dataCellStyle="เครื่องหมายจุลภาค">
      <calculatedColumnFormula>SUMIF(Sales[Product_Name],Product[[#This Row],[Product_Name]],Sales[Quantity])</calculatedColumnFormula>
    </tableColumn>
    <tableColumn id="4" name="Unit_Cost" dataDxfId="157" dataCellStyle="เครื่องหมายจุลภาค"/>
    <tableColumn id="5" name="List_Price" dataDxfId="156" dataCellStyle="เครื่องหมายจุลภาค"/>
    <tableColumn id="11" name="Net_Cost" dataDxfId="155" dataCellStyle="เครื่องหมายจุลภาค">
      <calculatedColumnFormula>Product[[#This Row],[Unit_Cost]]*Product[[#This Row],[CountUnit]]</calculatedColumnFormula>
    </tableColumn>
    <tableColumn id="6" name="Net_Sales" dataDxfId="154" dataCellStyle="เครื่องหมายจุลภาค">
      <calculatedColumnFormula>SUMIF(Sales[Product_Name],Product[[#This Row],[Product_Name]],Sales[Net_Sales])</calculatedColumnFormula>
    </tableColumn>
    <tableColumn id="7" name="Net_Profit" dataDxfId="153" dataCellStyle="เครื่องหมายจุลภาค">
      <calculatedColumnFormula>SUMIF(Sales[Product_Name],Product[[#This Row],[Product_Name]],Sales[Profit])</calculatedColumnFormula>
    </tableColumn>
    <tableColumn id="8" name="Margin_%" dataDxfId="152">
      <calculatedColumnFormula>Product[[#This Row],[Net_Profit]]/Product[[#This Row],[Net_Cost]]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Overhead_Costs" displayName="Overhead_Costs" ref="A1:F43" totalsRowShown="0" headerRowDxfId="151" headerRowBorderDxfId="150" tableBorderDxfId="149" totalsRowBorderDxfId="148">
  <autoFilter ref="A1:F43"/>
  <tableColumns count="6">
    <tableColumn id="1" name="Year" dataDxfId="147"/>
    <tableColumn id="5" name="MonthNo." dataDxfId="146">
      <calculatedColumnFormula>RIGHT(Overhead_Costs[[#This Row],[Year]],2)</calculatedColumnFormula>
    </tableColumn>
    <tableColumn id="6" name="Month" dataDxfId="145"/>
    <tableColumn id="2" name="Department" dataDxfId="144"/>
    <tableColumn id="3" name="Overhead_Cost" dataDxfId="143"/>
    <tableColumn id="4" name="Cost_Type" dataDxfId="14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" name="Performance" displayName="Performance" ref="A1:P96" totalsRowShown="0" headerRowDxfId="141" headerRowBorderDxfId="140" tableBorderDxfId="139" totalsRowBorderDxfId="138">
  <autoFilter ref="A1:P96"/>
  <sortState ref="A2:P96">
    <sortCondition ref="A1:A96"/>
  </sortState>
  <tableColumns count="16">
    <tableColumn id="1" name="Employee_ID" dataDxfId="137"/>
    <tableColumn id="2" name="Employee_Name" dataDxfId="136"/>
    <tableColumn id="3" name="Department" dataDxfId="135"/>
    <tableColumn id="4" name="Monthly_Salary" dataDxfId="134" dataCellStyle="เครื่องหมายจุลภาค"/>
    <tableColumn id="5" name="Performance_Target" dataDxfId="133" dataCellStyle="เครื่องหมายจุลภาค"/>
    <tableColumn id="6" name="Actual_Result" dataDxfId="132"/>
    <tableColumn id="7" name="Quality_Score" dataDxfId="131"/>
    <tableColumn id="8" name="Attendance_Score" dataDxfId="130"/>
    <tableColumn id="9" name="Teamwork_Score" dataDxfId="129"/>
    <tableColumn id="10" name="Customer_Score" dataDxfId="128"/>
    <tableColumn id="11" name="Overall_Score" dataDxfId="127"/>
    <tableColumn id="12" name="Target_Attainment" dataDxfId="126">
      <calculatedColumnFormula>Performance[[#This Row],[Actual_Result]]/Performance[[#This Row],[Performance_Target]]</calculatedColumnFormula>
    </tableColumn>
    <tableColumn id="15" name="Review_Note" dataDxfId="125">
      <calculatedColumnFormula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calculatedColumnFormula>
    </tableColumn>
    <tableColumn id="16" name="BonusEligable" dataDxfId="124">
      <calculatedColumnFormula>IF(Performance[[#This Row],[Overall_Score]]&gt;=90,"Passed","Not Passed")</calculatedColumnFormula>
    </tableColumn>
    <tableColumn id="13" name="Bonus_%" dataDxfId="123">
      <calculatedColumnFormula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calculatedColumnFormula>
    </tableColumn>
    <tableColumn id="14" name="Bonus _Amount" dataDxfId="122">
      <calculatedColumnFormula>Performance[[#This Row],[Bonus_%]]*Performance[[#This Row],[Monthly_Salary]]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13" name="Top10_Sales14" displayName="Top10_Sales14" ref="E107:H117" totalsRowShown="0" headerRowDxfId="121" headerRowBorderDxfId="120" tableBorderDxfId="119" totalsRowBorderDxfId="118">
  <autoFilter ref="E107:H117"/>
  <tableColumns count="4">
    <tableColumn id="1" name="Rank_Sales" dataDxfId="117"/>
    <tableColumn id="2" name="Employee" dataDxfId="116">
      <calculatedColumnFormula>INDEX(Employees[#All],MATCH(LARGE(Employees[Net_Sales],Top10_Sales14[[#This Row],[Rank_Sales]]),Employees[[#All],[Net_Sales]],0),MATCH("Employee_Name",Employees[#Headers],0))</calculatedColumnFormula>
    </tableColumn>
    <tableColumn id="3" name="Department" dataDxfId="115">
      <calculatedColumnFormula>INDEX(Employees[#All],MATCH(Top10_Sales14[[#This Row],[Employee]],Employees[[#All],[Employee_Name]],0),MATCH(Top10_Sales14[[#Headers],[Department]],Employees[#Headers],0))</calculatedColumnFormula>
    </tableColumn>
    <tableColumn id="4" name="NetSales" dataDxfId="114" dataCellStyle="เครื่องหมายจุลภาค">
      <calculatedColumnFormula>INDEX(Employees[#All],MATCH(Top10_Sales14[[#This Row],[Employee]],Employees[[#All],[Employee_Name]],0),MATCH("Net_Sales",Employees[#Headers],0))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4" name="Top10_Profit15" displayName="Top10_Profit15" ref="J107:M117" totalsRowShown="0" headerRowDxfId="113" headerRowBorderDxfId="112" tableBorderDxfId="111" totalsRowBorderDxfId="110">
  <autoFilter ref="J107:M117"/>
  <tableColumns count="4">
    <tableColumn id="1" name="Rank_Profit" dataDxfId="109"/>
    <tableColumn id="2" name="Employee" dataDxfId="108">
      <calculatedColumnFormula>INDEX(Employees[#All],MATCH(LARGE(Employees[Profit],Top10_Profit15[[#This Row],[Rank_Profit]]),Employees[[#All],[Profit]],0),MATCH("Employee_Name",Employees[#Headers],0))</calculatedColumnFormula>
    </tableColumn>
    <tableColumn id="3" name="Department" dataDxfId="107">
      <calculatedColumnFormula>INDEX(Employees[#All],MATCH(Top10_Profit15[[#This Row],[Employee]],Employees[[#All],[Employee_Name]],0),MATCH(Top10_Sales14[[#Headers],[Department]],Employees[#Headers],0))</calculatedColumnFormula>
    </tableColumn>
    <tableColumn id="4" name="Profit" dataDxfId="106" dataCellStyle="เครื่องหมายจุลภาค">
      <calculatedColumnFormula>INDEX(Employees[#All],MATCH(Top10_Profit15[[#This Row],[Employee]],Employees[[#All],[Employee_Name]],0),MATCH(Top10_Profit15[[#Headers],[Profit]],Employees[#Headers],0))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8" name="Table1019" displayName="Table1019" ref="F153:I203" totalsRowShown="0" headerRowDxfId="105" headerRowBorderDxfId="104" tableBorderDxfId="103" totalsRowBorderDxfId="102">
  <autoFilter ref="F153:I203"/>
  <tableColumns count="4">
    <tableColumn id="1" name="Employee_Name" dataDxfId="101"/>
    <tableColumn id="2" name="Overall_Score" dataDxfId="100">
      <calculatedColumnFormula>INDEX(Performance[#All],MATCH(Table1019[[#This Row],[Employee_Name]],Performance[[#All],[Employee_Name]],0),MATCH(Table1019[[#Headers],[Overall_Score]],Performance[#Headers],0))</calculatedColumnFormula>
    </tableColumn>
    <tableColumn id="3" name="Target_Attainment" dataDxfId="99">
      <calculatedColumnFormula>INDEX(Performance[#All],MATCH(Table1019[[#This Row],[Employee_Name]],Performance[[#All],[Employee_Name]],0),MATCH(Table1019[[#Headers],[Target_Attainment]],Performance[#Headers],0))</calculatedColumnFormula>
    </tableColumn>
    <tableColumn id="4" name="gap" dataDxfId="98">
      <calculatedColumnFormula>((Table1019[[#This Row],[Target_Attainment]])*100)-Table1019[[#This Row],[Overall_Score]]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9" name="Table19" displayName="Table19" ref="F212:H215" totalsRowShown="0" headerRowDxfId="97" headerRowBorderDxfId="96" tableBorderDxfId="95">
  <autoFilter ref="F212:H215"/>
  <tableColumns count="3">
    <tableColumn id="1" name="Customer_Tier"/>
    <tableColumn id="2" name="Net_Sales" dataDxfId="94" dataCellStyle="เครื่องหมายจุลภาค">
      <calculatedColumnFormula>SUMIF(Sales[Customer_Tier],Table19[[#This Row],[Customer_Tier]],Sales[Net_Sales])</calculatedColumnFormula>
    </tableColumn>
    <tableColumn id="3" name="Profit" dataDxfId="93">
      <calculatedColumnFormula>SUMIF(Sales[Customer_Tier],Table19[[#This Row],[Customer_Tier]],Sales[Profit])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21" name="Table21" displayName="Table21" ref="F220:H240" totalsRowShown="0" headerRowDxfId="92">
  <autoFilter ref="F220:H240"/>
  <tableColumns count="3">
    <tableColumn id="1" name="Product" dataDxfId="91"/>
    <tableColumn id="2" name="Category" dataDxfId="90">
      <calculatedColumnFormula>INDEX(Product[#All],MATCH(Table21[[#This Row],[Product]],Product[[#All],[Product_Name]],0),MATCH(Table21[[#Headers],[Category]],Product[#Headers],0))</calculatedColumnFormula>
    </tableColumn>
    <tableColumn id="3" name="Margin_%" dataDxfId="89">
      <calculatedColumnFormula>INDEX(Product[#All],MATCH(Table21[[#This Row],[Product]],Product[[#All],[Product_Name]],0),MATCH(Table21[[#Headers],[Margin_%]],Product[#Headers],0))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22" name="Table22" displayName="Table22" ref="F245:G251" totalsRowShown="0" headerRowDxfId="88">
  <autoFilter ref="F245:G251"/>
  <tableColumns count="2">
    <tableColumn id="1" name="Month"/>
    <tableColumn id="2" name="Net_Sales" dataDxfId="87" dataCellStyle="เครื่องหมายจุลภาค">
      <calculatedColumnFormula>SUMIF(Sales[Month],1,Sales[Net_Sales])</calculatedColumnFormula>
    </tableColumn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9" name="Table9" displayName="Table9" ref="A1:E9" totalsRowCount="1" headerRowDxfId="84" dataDxfId="82" headerRowBorderDxfId="83" tableBorderDxfId="81">
  <autoFilter ref="A1:E8"/>
  <tableColumns count="5">
    <tableColumn id="1" name="Department" totalsRowLabel="ผลรวม" totalsRowDxfId="80"/>
    <tableColumn id="2" name="Sale_ID" totalsRowFunction="sum" totalsRowDxfId="79" dataCellStyle="เครื่องหมายจุลภาค">
      <calculatedColumnFormula>COUNTIFS(Sales[Department],Table9[[#This Row],[Department]])</calculatedColumnFormula>
    </tableColumn>
    <tableColumn id="3" name="Net_Sales" totalsRowFunction="sum" totalsRowDxfId="78" dataCellStyle="เครื่องหมายจุลภาค">
      <calculatedColumnFormula>SUMIF(Sales[Department],Table9[[#This Row],[Department]],Sales[Net_Sales])</calculatedColumnFormula>
    </tableColumn>
    <tableColumn id="4" name="Profit" totalsRowFunction="sum" totalsRowDxfId="77" dataCellStyle="เครื่องหมายจุลภาค">
      <calculatedColumnFormula>SUMIF(Sales[Department],Table9[[#This Row],[Department]],Sales[Profit])</calculatedColumnFormula>
    </tableColumn>
    <tableColumn id="5" name="Margin %" dataDxfId="76" totalsRowDxfId="75" dataCellStyle="เปอร์เซ็นต์">
      <calculatedColumnFormula>Table9[[#This Row],[Profit]]/Table9[[#This Row],[Net_Sales]]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1" name="Top10_Sales" displayName="Top10_Sales" ref="A28:D38" totalsRowShown="0" headerRowDxfId="74" headerRowBorderDxfId="73" tableBorderDxfId="72" totalsRowBorderDxfId="71">
  <autoFilter ref="A28:D38"/>
  <tableColumns count="4">
    <tableColumn id="1" name="Rank_Sales" dataDxfId="70"/>
    <tableColumn id="2" name="Employee" dataDxfId="69">
      <calculatedColumnFormula>INDEX(Employees[#All],MATCH(LARGE(Employees[Net_Sales],Top10_Sales[[#This Row],[Rank_Sales]]),Employees[[#All],[Net_Sales]],0),MATCH("Employee_Name",Employees[#Headers],0))</calculatedColumnFormula>
    </tableColumn>
    <tableColumn id="3" name="Department" dataDxfId="68">
      <calculatedColumnFormula>INDEX(Employees[#All],MATCH(Top10_Sales[[#This Row],[Employee]],Employees[[#All],[Employee_Name]],0),MATCH(Top10_Sales[[#Headers],[Department]],Employees[#Headers],0))</calculatedColumnFormula>
    </tableColumn>
    <tableColumn id="4" name="NetSales" dataDxfId="67" dataCellStyle="เครื่องหมายจุลภาค">
      <calculatedColumnFormula>INDEX(Employees[#All],MATCH(Top10_Sales[[#This Row],[Employee]],Employees[[#All],[Employee_Name]],0),MATCH("Net_Sales",Employees[#Headers],0))</calculatedColumn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2" name="Top10_Profit" displayName="Top10_Profit" ref="F28:I38" totalsRowShown="0" headerRowDxfId="66" headerRowBorderDxfId="65" tableBorderDxfId="64" totalsRowBorderDxfId="63">
  <autoFilter ref="F28:I38"/>
  <tableColumns count="4">
    <tableColumn id="1" name="Rank_Profit" dataDxfId="62"/>
    <tableColumn id="2" name="Employee" dataDxfId="61">
      <calculatedColumnFormula>INDEX(Employees[#All],MATCH(LARGE(Employees[Profit],Top10_Profit[[#This Row],[Rank_Profit]]),Employees[[#All],[Profit]],0),MATCH("Employee_Name",Employees[#Headers],0))</calculatedColumnFormula>
    </tableColumn>
    <tableColumn id="3" name="Department" dataDxfId="60">
      <calculatedColumnFormula>INDEX(Employees[#All],MATCH(Top10_Profit[[#This Row],[Employee]],Employees[[#All],[Employee_Name]],0),MATCH(Top10_Sales[[#Headers],[Department]],Employees[#Headers],0))</calculatedColumnFormula>
    </tableColumn>
    <tableColumn id="4" name="Profit" dataDxfId="59" dataCellStyle="เครื่องหมายจุลภาค">
      <calculatedColumnFormula>INDEX(Employees[#All],MATCH(Top10_Profit[[#This Row],[Employee]],Employees[[#All],[Employee_Name]],0),MATCH(Top10_Profit[[#Headers],[Profit]],Employees[#Headers],0))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Avg.Score" displayName="Avg.Score" ref="I1:K8" totalsRowShown="0" headerRowDxfId="58" dataDxfId="56" headerRowBorderDxfId="57" tableBorderDxfId="55">
  <autoFilter ref="I1:K8"/>
  <tableColumns count="3">
    <tableColumn id="1" name="Department" dataDxfId="54"/>
    <tableColumn id="2" name="Overall_Score" dataDxfId="53">
      <calculatedColumnFormula>AVERAGEIF(Performance[Department],Avg.Score[[#This Row],[Department]],Performance[Overall_Score])</calculatedColumnFormula>
    </tableColumn>
    <tableColumn id="3" name="Rank" dataDxfId="52">
      <calculatedColumnFormula>RANK(Avg.Score[[#This Row],[Overall_Score]],Avg.Score[Overall_Score])</calculatedColumnFormula>
    </tableColumn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0" name="Table10" displayName="Table10" ref="A48:C98" totalsRowShown="0" headerRowDxfId="51" headerRowBorderDxfId="50" tableBorderDxfId="49" totalsRowBorderDxfId="48">
  <autoFilter ref="A48:C98"/>
  <tableColumns count="3">
    <tableColumn id="1" name="Employee_Name" dataDxfId="47"/>
    <tableColumn id="2" name="Overall_Score" dataDxfId="46">
      <calculatedColumnFormula>INDEX(Performance[#All],MATCH(Table10[[#This Row],[Employee_Name]],Performance[[#All],[Employee_Name]],0),MATCH(Table10[[#Headers],[Overall_Score]],Performance[#Headers],0))</calculatedColumnFormula>
    </tableColumn>
    <tableColumn id="3" name="Target_Attainment" dataDxfId="45">
      <calculatedColumnFormula>INDEX(Performance[#All],MATCH(Table10[[#This Row],[Employee_Name]],Performance[[#All],[Employee_Name]],0),MATCH(Table10[[#Headers],[Target_Attainment]],Performance[#Headers],0))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6" name="Table6" displayName="Table6" ref="A1:X181" totalsRowShown="0" headerRowDxfId="44" headerRowBorderDxfId="43" tableBorderDxfId="42" totalsRowBorderDxfId="41">
  <autoFilter ref="A1:X181"/>
  <tableColumns count="24">
    <tableColumn id="1" name="Sale_ID" dataDxfId="40"/>
    <tableColumn id="2" name="Sale_Date" dataDxfId="39"/>
    <tableColumn id="3" name="Employee_ID" dataDxfId="38"/>
    <tableColumn id="4" name="Customer_ID" dataDxfId="37"/>
    <tableColumn id="5" name="Product_ID" dataDxfId="36"/>
    <tableColumn id="6" name="Quantity" dataDxfId="35"/>
    <tableColumn id="7" name="Discount" dataDxfId="34"/>
    <tableColumn id="8" name="Sales_Amount" dataDxfId="33"/>
    <tableColumn id="9" name="Cost_Amount" dataDxfId="32"/>
    <tableColumn id="10" name="Profit" dataDxfId="31"/>
    <tableColumn id="11" name="Region_Raw" dataDxfId="30"/>
    <tableColumn id="12" name="Order_Status" dataDxfId="29"/>
    <tableColumn id="13" name="Region_Clean" dataDxfId="28"/>
    <tableColumn id="14" name="Sales_Calc" dataDxfId="27"/>
    <tableColumn id="15" name="Employee_Name" dataDxfId="26"/>
    <tableColumn id="16" name="Department" dataDxfId="25"/>
    <tableColumn id="17" name="Customer_Name" dataDxfId="24"/>
    <tableColumn id="18" name="Customer_Tier" dataDxfId="23"/>
    <tableColumn id="19" name="Product_Name" dataDxfId="22"/>
    <tableColumn id="20" name="Category" dataDxfId="21"/>
    <tableColumn id="21" name="Unit_Cost" dataDxfId="20"/>
    <tableColumn id="22" name="List_Price" dataDxfId="19"/>
    <tableColumn id="23" name="Net_Sales_Check" dataDxfId="18"/>
    <tableColumn id="24" name="Margin_%" dataDxfId="17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5" name="Answer_KPI" displayName="Answer_KPI" ref="A2:P97" totalsRowShown="0" headerRowDxfId="16">
  <autoFilter ref="A2:P97"/>
  <tableColumns count="16">
    <tableColumn id="1" name="Employee_ID"/>
    <tableColumn id="2" name="Employee_Name"/>
    <tableColumn id="3" name="Department"/>
    <tableColumn id="4" name="Monthly_Salary"/>
    <tableColumn id="5" name="Performance_Target"/>
    <tableColumn id="6" name="Actual_Result" dataDxfId="15"/>
    <tableColumn id="7" name="Quality_Score" dataDxfId="14"/>
    <tableColumn id="8" name="Attendance_Score" dataDxfId="13"/>
    <tableColumn id="9" name="Teamwork_Score" dataDxfId="12"/>
    <tableColumn id="10" name="Customer_Score" dataDxfId="11"/>
    <tableColumn id="11" name="Overall_Score" dataDxfId="10"/>
    <tableColumn id="12" name="Target_Attainment" dataDxfId="9"/>
    <tableColumn id="13" name="Performance_Band"/>
    <tableColumn id="14" name="Bonus_%" dataDxfId="8"/>
    <tableColumn id="15" name="Bonus_Amount" dataDxfId="7"/>
    <tableColumn id="16" name="Total_Comp_With_Bonus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3.xml"/><Relationship Id="rId5" Type="http://schemas.openxmlformats.org/officeDocument/2006/relationships/drawing" Target="../drawings/drawing2.xml"/><Relationship Id="rId10" Type="http://schemas.openxmlformats.org/officeDocument/2006/relationships/table" Target="../tables/table17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tabSelected="1" zoomScaleNormal="100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22" customWidth="1"/>
    <col min="2" max="2" width="107.7109375" bestFit="1" customWidth="1"/>
  </cols>
  <sheetData>
    <row r="1" spans="1:2" ht="18.75" x14ac:dyDescent="0.3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"/>
  <sheetViews>
    <sheetView showGridLines="0" zoomScale="115" zoomScaleNormal="115" workbookViewId="0">
      <pane ySplit="1" topLeftCell="A26" activePane="bottomLeft" state="frozen"/>
      <selection pane="bottomLeft" activeCell="L7" sqref="L7"/>
    </sheetView>
  </sheetViews>
  <sheetFormatPr defaultRowHeight="15" x14ac:dyDescent="0.25"/>
  <cols>
    <col min="1" max="1" width="12" customWidth="1"/>
    <col min="2" max="2" width="21" customWidth="1"/>
    <col min="3" max="4" width="13" customWidth="1"/>
    <col min="5" max="7" width="12" customWidth="1"/>
    <col min="8" max="8" width="14" customWidth="1"/>
    <col min="9" max="9" width="13" customWidth="1"/>
    <col min="10" max="10" width="12" customWidth="1"/>
    <col min="11" max="11" width="13" customWidth="1"/>
    <col min="12" max="12" width="14" customWidth="1"/>
  </cols>
  <sheetData>
    <row r="1" spans="1:12" ht="24" customHeigh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</row>
    <row r="2" spans="1:12" x14ac:dyDescent="0.25">
      <c r="A2" s="4" t="s">
        <v>30</v>
      </c>
      <c r="B2" s="6">
        <v>45792</v>
      </c>
      <c r="C2" s="4" t="s">
        <v>31</v>
      </c>
      <c r="D2" s="4" t="s">
        <v>32</v>
      </c>
      <c r="E2" s="4" t="s">
        <v>33</v>
      </c>
      <c r="F2" s="7">
        <v>5</v>
      </c>
      <c r="G2" s="7">
        <v>0.12</v>
      </c>
      <c r="H2" s="7">
        <v>15840</v>
      </c>
      <c r="I2" s="4">
        <v>12000</v>
      </c>
      <c r="J2" s="7">
        <v>3840</v>
      </c>
      <c r="K2" s="4" t="s">
        <v>34</v>
      </c>
      <c r="L2" s="4" t="s">
        <v>35</v>
      </c>
    </row>
    <row r="3" spans="1:12" x14ac:dyDescent="0.25">
      <c r="A3" s="4" t="s">
        <v>36</v>
      </c>
      <c r="B3" s="6">
        <v>45774</v>
      </c>
      <c r="C3" s="4" t="s">
        <v>37</v>
      </c>
      <c r="D3" s="4" t="s">
        <v>38</v>
      </c>
      <c r="E3" s="4" t="s">
        <v>33</v>
      </c>
      <c r="F3" s="7">
        <v>8</v>
      </c>
      <c r="G3" s="7">
        <v>0</v>
      </c>
      <c r="H3" s="7">
        <v>28800</v>
      </c>
      <c r="I3" s="4">
        <v>19200</v>
      </c>
      <c r="J3" s="7">
        <v>9600</v>
      </c>
      <c r="K3" s="4" t="s">
        <v>39</v>
      </c>
      <c r="L3" s="4" t="s">
        <v>35</v>
      </c>
    </row>
    <row r="4" spans="1:12" x14ac:dyDescent="0.25">
      <c r="A4" s="4" t="s">
        <v>40</v>
      </c>
      <c r="B4" s="6">
        <v>45820</v>
      </c>
      <c r="C4" s="4" t="s">
        <v>41</v>
      </c>
      <c r="D4" s="4" t="s">
        <v>42</v>
      </c>
      <c r="E4" s="4" t="s">
        <v>43</v>
      </c>
      <c r="F4" s="7">
        <v>17</v>
      </c>
      <c r="G4" s="7">
        <v>0.05</v>
      </c>
      <c r="H4" s="7">
        <v>30685</v>
      </c>
      <c r="I4" s="4">
        <v>20400</v>
      </c>
      <c r="J4" s="7">
        <v>10285</v>
      </c>
      <c r="K4" s="4" t="s">
        <v>44</v>
      </c>
      <c r="L4" s="4" t="s">
        <v>45</v>
      </c>
    </row>
    <row r="5" spans="1:12" x14ac:dyDescent="0.25">
      <c r="A5" s="4" t="s">
        <v>46</v>
      </c>
      <c r="B5" s="6">
        <v>45779</v>
      </c>
      <c r="C5" s="4" t="s">
        <v>47</v>
      </c>
      <c r="D5" s="4" t="s">
        <v>48</v>
      </c>
      <c r="E5" s="4" t="s">
        <v>49</v>
      </c>
      <c r="F5" s="7">
        <v>6</v>
      </c>
      <c r="G5" s="7">
        <v>0.12</v>
      </c>
      <c r="H5" s="7">
        <v>25344</v>
      </c>
      <c r="I5" s="4">
        <v>19200</v>
      </c>
      <c r="J5" s="7">
        <v>6144</v>
      </c>
      <c r="K5" s="4" t="s">
        <v>39</v>
      </c>
      <c r="L5" s="4" t="s">
        <v>35</v>
      </c>
    </row>
    <row r="6" spans="1:12" x14ac:dyDescent="0.25">
      <c r="A6" s="4" t="s">
        <v>50</v>
      </c>
      <c r="B6" s="6">
        <v>45665</v>
      </c>
      <c r="C6" s="4" t="s">
        <v>51</v>
      </c>
      <c r="D6" s="4" t="s">
        <v>52</v>
      </c>
      <c r="E6" s="4" t="s">
        <v>53</v>
      </c>
      <c r="F6" s="7">
        <v>3</v>
      </c>
      <c r="G6" s="7">
        <v>0.03</v>
      </c>
      <c r="H6" s="7">
        <v>12222</v>
      </c>
      <c r="I6" s="4">
        <v>8400</v>
      </c>
      <c r="J6" s="7">
        <v>3822</v>
      </c>
      <c r="K6" s="4" t="s">
        <v>39</v>
      </c>
      <c r="L6" s="4" t="s">
        <v>35</v>
      </c>
    </row>
    <row r="7" spans="1:12" x14ac:dyDescent="0.25">
      <c r="A7" s="4" t="s">
        <v>54</v>
      </c>
      <c r="B7" s="6">
        <v>45710</v>
      </c>
      <c r="C7" s="4" t="s">
        <v>55</v>
      </c>
      <c r="D7" s="4" t="s">
        <v>56</v>
      </c>
      <c r="E7" s="4" t="s">
        <v>57</v>
      </c>
      <c r="F7" s="7">
        <v>8</v>
      </c>
      <c r="G7" s="7">
        <v>0.1</v>
      </c>
      <c r="H7" s="7">
        <v>37440</v>
      </c>
      <c r="I7" s="4">
        <v>28000</v>
      </c>
      <c r="J7" s="7">
        <v>9440</v>
      </c>
      <c r="K7" s="4" t="s">
        <v>58</v>
      </c>
      <c r="L7" s="4" t="s">
        <v>35</v>
      </c>
    </row>
    <row r="8" spans="1:12" x14ac:dyDescent="0.25">
      <c r="A8" s="4" t="s">
        <v>59</v>
      </c>
      <c r="B8" s="6">
        <v>45702</v>
      </c>
      <c r="C8" s="4" t="s">
        <v>60</v>
      </c>
      <c r="D8" s="4" t="s">
        <v>61</v>
      </c>
      <c r="E8" s="4" t="s">
        <v>62</v>
      </c>
      <c r="F8" s="7">
        <v>5</v>
      </c>
      <c r="G8" s="7">
        <v>0.1</v>
      </c>
      <c r="H8" s="7">
        <v>47250</v>
      </c>
      <c r="I8" s="4">
        <v>37500</v>
      </c>
      <c r="J8" s="7">
        <v>9750</v>
      </c>
      <c r="K8" s="4" t="s">
        <v>63</v>
      </c>
      <c r="L8" s="4" t="s">
        <v>35</v>
      </c>
    </row>
    <row r="9" spans="1:12" x14ac:dyDescent="0.25">
      <c r="A9" s="4" t="s">
        <v>64</v>
      </c>
      <c r="B9" s="6">
        <v>45754</v>
      </c>
      <c r="C9" s="4" t="s">
        <v>65</v>
      </c>
      <c r="D9" s="4" t="s">
        <v>66</v>
      </c>
      <c r="E9" s="4" t="s">
        <v>67</v>
      </c>
      <c r="F9" s="7">
        <v>9</v>
      </c>
      <c r="G9" s="7">
        <v>0.05</v>
      </c>
      <c r="H9" s="7">
        <v>58140</v>
      </c>
      <c r="I9" s="4">
        <v>40500</v>
      </c>
      <c r="J9" s="7">
        <v>17640</v>
      </c>
      <c r="K9" s="4" t="s">
        <v>63</v>
      </c>
      <c r="L9" s="4" t="s">
        <v>35</v>
      </c>
    </row>
    <row r="10" spans="1:12" x14ac:dyDescent="0.25">
      <c r="A10" s="4" t="s">
        <v>68</v>
      </c>
      <c r="B10" s="6">
        <v>45684</v>
      </c>
      <c r="C10" s="4" t="s">
        <v>69</v>
      </c>
      <c r="D10" s="4" t="s">
        <v>70</v>
      </c>
      <c r="E10" s="4" t="s">
        <v>71</v>
      </c>
      <c r="F10" s="7">
        <v>13</v>
      </c>
      <c r="G10" s="7">
        <v>0.08</v>
      </c>
      <c r="H10" s="7">
        <v>86112</v>
      </c>
      <c r="I10" s="4">
        <v>62400</v>
      </c>
      <c r="J10" s="7">
        <v>23712</v>
      </c>
      <c r="K10" s="4" t="s">
        <v>39</v>
      </c>
      <c r="L10" s="4" t="s">
        <v>35</v>
      </c>
    </row>
    <row r="11" spans="1:12" x14ac:dyDescent="0.25">
      <c r="A11" s="4" t="s">
        <v>72</v>
      </c>
      <c r="B11" s="6">
        <v>45833</v>
      </c>
      <c r="C11" s="4" t="s">
        <v>73</v>
      </c>
      <c r="D11" s="4" t="s">
        <v>74</v>
      </c>
      <c r="E11" s="4" t="s">
        <v>53</v>
      </c>
      <c r="F11" s="7">
        <v>10</v>
      </c>
      <c r="G11" s="7">
        <v>0.03</v>
      </c>
      <c r="H11" s="7">
        <v>40740</v>
      </c>
      <c r="I11" s="4">
        <v>28000</v>
      </c>
      <c r="J11" s="7">
        <v>12740</v>
      </c>
      <c r="K11" s="4" t="s">
        <v>63</v>
      </c>
      <c r="L11" s="4" t="s">
        <v>35</v>
      </c>
    </row>
    <row r="12" spans="1:12" x14ac:dyDescent="0.25">
      <c r="A12" s="4" t="s">
        <v>75</v>
      </c>
      <c r="B12" s="6">
        <v>45824</v>
      </c>
      <c r="C12" s="4" t="s">
        <v>76</v>
      </c>
      <c r="D12" s="4" t="s">
        <v>77</v>
      </c>
      <c r="E12" s="4" t="s">
        <v>78</v>
      </c>
      <c r="F12" s="7">
        <v>9</v>
      </c>
      <c r="G12" s="7">
        <v>0.1</v>
      </c>
      <c r="H12" s="7">
        <v>72900</v>
      </c>
      <c r="I12" s="4">
        <v>58500</v>
      </c>
      <c r="J12" s="7">
        <v>14400</v>
      </c>
      <c r="K12" s="4" t="s">
        <v>63</v>
      </c>
      <c r="L12" s="4" t="s">
        <v>35</v>
      </c>
    </row>
    <row r="13" spans="1:12" x14ac:dyDescent="0.25">
      <c r="A13" s="4" t="s">
        <v>79</v>
      </c>
      <c r="B13" s="6">
        <v>45739</v>
      </c>
      <c r="C13" s="4" t="s">
        <v>80</v>
      </c>
      <c r="D13" s="4" t="s">
        <v>70</v>
      </c>
      <c r="E13" s="4" t="s">
        <v>81</v>
      </c>
      <c r="F13" s="7">
        <v>13</v>
      </c>
      <c r="G13" s="7">
        <v>0.1</v>
      </c>
      <c r="H13" s="7">
        <v>105300</v>
      </c>
      <c r="I13" s="4">
        <v>84500</v>
      </c>
      <c r="J13" s="7">
        <v>20800</v>
      </c>
      <c r="K13" s="4" t="s">
        <v>39</v>
      </c>
      <c r="L13" s="4" t="s">
        <v>35</v>
      </c>
    </row>
    <row r="14" spans="1:12" x14ac:dyDescent="0.25">
      <c r="A14" s="4" t="s">
        <v>82</v>
      </c>
      <c r="B14" s="6">
        <v>45757</v>
      </c>
      <c r="C14" s="4" t="s">
        <v>83</v>
      </c>
      <c r="D14" s="4" t="s">
        <v>84</v>
      </c>
      <c r="E14" s="4" t="s">
        <v>85</v>
      </c>
      <c r="F14" s="7">
        <v>14</v>
      </c>
      <c r="G14" s="7">
        <v>0.05</v>
      </c>
      <c r="H14" s="7">
        <v>86450</v>
      </c>
      <c r="I14" s="4">
        <v>58800</v>
      </c>
      <c r="J14" s="7">
        <v>27650</v>
      </c>
      <c r="K14" s="4" t="s">
        <v>44</v>
      </c>
      <c r="L14" s="4" t="s">
        <v>35</v>
      </c>
    </row>
    <row r="15" spans="1:12" x14ac:dyDescent="0.25">
      <c r="A15" s="4" t="s">
        <v>86</v>
      </c>
      <c r="B15" s="6">
        <v>45794</v>
      </c>
      <c r="C15" s="4" t="s">
        <v>87</v>
      </c>
      <c r="D15" s="4" t="s">
        <v>88</v>
      </c>
      <c r="E15" s="4" t="s">
        <v>78</v>
      </c>
      <c r="F15" s="7">
        <v>8</v>
      </c>
      <c r="G15" s="7">
        <v>0.1</v>
      </c>
      <c r="H15" s="7">
        <v>64800</v>
      </c>
      <c r="I15" s="4">
        <v>52000</v>
      </c>
      <c r="J15" s="7">
        <v>12800</v>
      </c>
      <c r="K15" s="4" t="s">
        <v>44</v>
      </c>
      <c r="L15" s="4" t="s">
        <v>35</v>
      </c>
    </row>
    <row r="16" spans="1:12" x14ac:dyDescent="0.25">
      <c r="A16" s="4" t="s">
        <v>89</v>
      </c>
      <c r="B16" s="6">
        <v>45826</v>
      </c>
      <c r="C16" s="4" t="s">
        <v>76</v>
      </c>
      <c r="D16" s="4" t="s">
        <v>90</v>
      </c>
      <c r="E16" s="4" t="s">
        <v>91</v>
      </c>
      <c r="F16" s="7">
        <v>6</v>
      </c>
      <c r="G16" s="7">
        <v>0.12</v>
      </c>
      <c r="H16" s="7">
        <v>17952</v>
      </c>
      <c r="I16" s="4">
        <v>13200</v>
      </c>
      <c r="J16" s="7">
        <v>4752</v>
      </c>
      <c r="K16" s="4" t="s">
        <v>63</v>
      </c>
      <c r="L16" s="4" t="s">
        <v>35</v>
      </c>
    </row>
    <row r="17" spans="1:12" x14ac:dyDescent="0.25">
      <c r="A17" s="4" t="s">
        <v>92</v>
      </c>
      <c r="B17" s="6">
        <v>45704</v>
      </c>
      <c r="C17" s="4" t="s">
        <v>93</v>
      </c>
      <c r="D17" s="4" t="s">
        <v>94</v>
      </c>
      <c r="E17" s="4" t="s">
        <v>95</v>
      </c>
      <c r="F17" s="7">
        <v>18</v>
      </c>
      <c r="G17" s="7">
        <v>0.12</v>
      </c>
      <c r="H17" s="7">
        <v>823680</v>
      </c>
      <c r="I17" s="4">
        <v>756000</v>
      </c>
      <c r="J17" s="7">
        <v>67680</v>
      </c>
      <c r="K17" s="4" t="s">
        <v>63</v>
      </c>
      <c r="L17" s="4" t="s">
        <v>35</v>
      </c>
    </row>
    <row r="18" spans="1:12" x14ac:dyDescent="0.25">
      <c r="A18" s="4" t="s">
        <v>96</v>
      </c>
      <c r="B18" s="6">
        <v>45742</v>
      </c>
      <c r="C18" s="4" t="s">
        <v>97</v>
      </c>
      <c r="D18" s="4" t="s">
        <v>98</v>
      </c>
      <c r="E18" s="4" t="s">
        <v>99</v>
      </c>
      <c r="F18" s="7">
        <v>10</v>
      </c>
      <c r="G18" s="7">
        <v>0.05</v>
      </c>
      <c r="H18" s="7">
        <v>361000</v>
      </c>
      <c r="I18" s="4">
        <v>300000</v>
      </c>
      <c r="J18" s="7">
        <v>61000</v>
      </c>
      <c r="K18" s="4" t="s">
        <v>39</v>
      </c>
      <c r="L18" s="4" t="s">
        <v>35</v>
      </c>
    </row>
    <row r="19" spans="1:12" x14ac:dyDescent="0.25">
      <c r="A19" s="4" t="s">
        <v>100</v>
      </c>
      <c r="B19" s="6">
        <v>45707</v>
      </c>
      <c r="C19" s="4" t="s">
        <v>93</v>
      </c>
      <c r="D19" s="4" t="s">
        <v>101</v>
      </c>
      <c r="E19" s="4" t="s">
        <v>78</v>
      </c>
      <c r="F19" s="7"/>
      <c r="G19" s="7">
        <v>0.05</v>
      </c>
      <c r="H19" s="7">
        <v>25650</v>
      </c>
      <c r="I19" s="4">
        <v>19500</v>
      </c>
      <c r="J19" s="7">
        <v>6150</v>
      </c>
      <c r="K19" s="4" t="s">
        <v>102</v>
      </c>
      <c r="L19" s="4" t="s">
        <v>35</v>
      </c>
    </row>
    <row r="20" spans="1:12" x14ac:dyDescent="0.25">
      <c r="A20" s="4" t="s">
        <v>103</v>
      </c>
      <c r="B20" s="6">
        <v>45709</v>
      </c>
      <c r="C20" s="4" t="s">
        <v>104</v>
      </c>
      <c r="D20" s="4" t="s">
        <v>56</v>
      </c>
      <c r="E20" s="4" t="s">
        <v>95</v>
      </c>
      <c r="F20" s="7">
        <v>5</v>
      </c>
      <c r="G20" s="7">
        <v>0</v>
      </c>
      <c r="H20" s="7">
        <v>260000</v>
      </c>
      <c r="I20" s="4">
        <v>210000</v>
      </c>
      <c r="J20" s="7">
        <v>50000</v>
      </c>
      <c r="K20" s="4" t="s">
        <v>63</v>
      </c>
      <c r="L20" s="4" t="s">
        <v>45</v>
      </c>
    </row>
    <row r="21" spans="1:12" x14ac:dyDescent="0.25">
      <c r="A21" s="4" t="s">
        <v>105</v>
      </c>
      <c r="B21" s="6">
        <v>45678</v>
      </c>
      <c r="C21" s="4" t="s">
        <v>106</v>
      </c>
      <c r="D21" s="4" t="s">
        <v>107</v>
      </c>
      <c r="E21" s="4" t="s">
        <v>91</v>
      </c>
      <c r="F21" s="7">
        <v>6</v>
      </c>
      <c r="G21" s="7">
        <v>0.12</v>
      </c>
      <c r="H21" s="7">
        <v>17952</v>
      </c>
      <c r="I21" s="4">
        <v>13200</v>
      </c>
      <c r="J21" s="7">
        <v>4752</v>
      </c>
      <c r="K21" s="4" t="s">
        <v>34</v>
      </c>
      <c r="L21" s="4" t="s">
        <v>780</v>
      </c>
    </row>
    <row r="22" spans="1:12" x14ac:dyDescent="0.25">
      <c r="A22" s="4" t="s">
        <v>108</v>
      </c>
      <c r="B22" s="6">
        <v>45701</v>
      </c>
      <c r="C22" s="4" t="s">
        <v>109</v>
      </c>
      <c r="D22" s="4" t="s">
        <v>88</v>
      </c>
      <c r="E22" s="4" t="s">
        <v>49</v>
      </c>
      <c r="F22" s="7">
        <v>9</v>
      </c>
      <c r="G22" s="7">
        <v>0</v>
      </c>
      <c r="H22" s="7">
        <v>43200</v>
      </c>
      <c r="I22" s="4">
        <v>28800</v>
      </c>
      <c r="J22" s="7">
        <v>14400</v>
      </c>
      <c r="K22" s="4" t="s">
        <v>44</v>
      </c>
      <c r="L22" s="4" t="s">
        <v>35</v>
      </c>
    </row>
    <row r="23" spans="1:12" x14ac:dyDescent="0.25">
      <c r="A23" s="4" t="s">
        <v>110</v>
      </c>
      <c r="B23" s="6">
        <v>45767</v>
      </c>
      <c r="C23" s="4" t="s">
        <v>111</v>
      </c>
      <c r="D23" s="4" t="s">
        <v>112</v>
      </c>
      <c r="E23" s="4" t="s">
        <v>99</v>
      </c>
      <c r="F23" s="7">
        <v>14</v>
      </c>
      <c r="G23" s="7">
        <v>0.1</v>
      </c>
      <c r="H23" s="7">
        <v>478800</v>
      </c>
      <c r="I23" s="4">
        <v>420000</v>
      </c>
      <c r="J23" s="7">
        <v>58800</v>
      </c>
      <c r="K23" s="4" t="s">
        <v>102</v>
      </c>
      <c r="L23" s="4" t="s">
        <v>35</v>
      </c>
    </row>
    <row r="24" spans="1:12" x14ac:dyDescent="0.25">
      <c r="A24" s="4" t="s">
        <v>113</v>
      </c>
      <c r="B24" s="6">
        <v>45740</v>
      </c>
      <c r="C24" s="4" t="s">
        <v>114</v>
      </c>
      <c r="D24" s="4" t="s">
        <v>115</v>
      </c>
      <c r="E24" s="4" t="s">
        <v>116</v>
      </c>
      <c r="F24" s="7">
        <v>12</v>
      </c>
      <c r="G24" s="7">
        <v>0</v>
      </c>
      <c r="H24" s="7">
        <v>144000</v>
      </c>
      <c r="I24" s="4">
        <v>102000</v>
      </c>
      <c r="J24" s="7">
        <v>42000</v>
      </c>
      <c r="K24" s="4" t="s">
        <v>117</v>
      </c>
      <c r="L24" s="4" t="s">
        <v>35</v>
      </c>
    </row>
    <row r="25" spans="1:12" x14ac:dyDescent="0.25">
      <c r="A25" s="4" t="s">
        <v>118</v>
      </c>
      <c r="B25" s="6">
        <v>45835</v>
      </c>
      <c r="C25" s="4" t="s">
        <v>119</v>
      </c>
      <c r="D25" s="4" t="s">
        <v>120</v>
      </c>
      <c r="E25" s="4" t="s">
        <v>121</v>
      </c>
      <c r="F25" s="7">
        <v>8</v>
      </c>
      <c r="G25" s="7">
        <v>0</v>
      </c>
      <c r="H25" s="7">
        <v>28800</v>
      </c>
      <c r="I25" s="4">
        <v>19200</v>
      </c>
      <c r="J25" s="7">
        <v>9600</v>
      </c>
      <c r="K25" s="4" t="s">
        <v>44</v>
      </c>
      <c r="L25" s="4" t="s">
        <v>122</v>
      </c>
    </row>
    <row r="26" spans="1:12" x14ac:dyDescent="0.25">
      <c r="A26" s="4" t="s">
        <v>123</v>
      </c>
      <c r="B26" s="6">
        <v>45669</v>
      </c>
      <c r="C26" s="4" t="s">
        <v>124</v>
      </c>
      <c r="D26" s="4" t="s">
        <v>125</v>
      </c>
      <c r="E26" s="4" t="s">
        <v>49</v>
      </c>
      <c r="F26" s="7">
        <v>6</v>
      </c>
      <c r="G26" s="7">
        <v>0</v>
      </c>
      <c r="H26" s="7">
        <v>28800</v>
      </c>
      <c r="I26" s="4">
        <v>19200</v>
      </c>
      <c r="J26" s="7">
        <v>9600</v>
      </c>
      <c r="K26" s="4" t="s">
        <v>39</v>
      </c>
      <c r="L26" s="4" t="s">
        <v>122</v>
      </c>
    </row>
    <row r="27" spans="1:12" x14ac:dyDescent="0.25">
      <c r="A27" s="4" t="s">
        <v>126</v>
      </c>
      <c r="B27" s="6">
        <v>45692</v>
      </c>
      <c r="C27" s="4" t="s">
        <v>127</v>
      </c>
      <c r="D27" s="4" t="s">
        <v>128</v>
      </c>
      <c r="E27" s="4" t="s">
        <v>53</v>
      </c>
      <c r="F27" s="7">
        <v>14</v>
      </c>
      <c r="G27" s="7">
        <v>0.1</v>
      </c>
      <c r="H27" s="7">
        <v>52920</v>
      </c>
      <c r="I27" s="4">
        <v>39200</v>
      </c>
      <c r="J27" s="7">
        <v>13720</v>
      </c>
      <c r="K27" s="4" t="s">
        <v>34</v>
      </c>
      <c r="L27" s="4" t="s">
        <v>35</v>
      </c>
    </row>
    <row r="28" spans="1:12" x14ac:dyDescent="0.25">
      <c r="A28" s="4" t="s">
        <v>129</v>
      </c>
      <c r="B28" s="6">
        <v>45716</v>
      </c>
      <c r="C28" s="4" t="s">
        <v>130</v>
      </c>
      <c r="D28" s="4" t="s">
        <v>88</v>
      </c>
      <c r="E28" s="4" t="s">
        <v>78</v>
      </c>
      <c r="F28" s="7">
        <v>13</v>
      </c>
      <c r="G28" s="7">
        <v>0</v>
      </c>
      <c r="H28" s="7">
        <v>117000</v>
      </c>
      <c r="I28" s="4">
        <v>84500</v>
      </c>
      <c r="J28" s="7">
        <v>32500</v>
      </c>
      <c r="K28" s="4" t="s">
        <v>44</v>
      </c>
      <c r="L28" s="4" t="s">
        <v>35</v>
      </c>
    </row>
    <row r="29" spans="1:12" x14ac:dyDescent="0.25">
      <c r="A29" s="4" t="s">
        <v>131</v>
      </c>
      <c r="B29" s="6">
        <v>45751</v>
      </c>
      <c r="C29" s="4" t="s">
        <v>132</v>
      </c>
      <c r="D29" s="4" t="s">
        <v>133</v>
      </c>
      <c r="E29" s="4" t="s">
        <v>71</v>
      </c>
      <c r="F29" s="7">
        <v>6</v>
      </c>
      <c r="G29" s="7">
        <v>0</v>
      </c>
      <c r="H29" s="7">
        <v>43200</v>
      </c>
      <c r="I29" s="4">
        <v>28800</v>
      </c>
      <c r="J29" s="7">
        <v>14400</v>
      </c>
      <c r="K29" s="4" t="s">
        <v>39</v>
      </c>
      <c r="L29" s="4" t="s">
        <v>35</v>
      </c>
    </row>
    <row r="30" spans="1:12" x14ac:dyDescent="0.25">
      <c r="A30" s="4" t="s">
        <v>134</v>
      </c>
      <c r="B30" s="6">
        <v>45670</v>
      </c>
      <c r="C30" s="4" t="s">
        <v>135</v>
      </c>
      <c r="D30" s="4" t="s">
        <v>136</v>
      </c>
      <c r="E30" s="4" t="s">
        <v>95</v>
      </c>
      <c r="F30" s="7">
        <v>2</v>
      </c>
      <c r="G30" s="7">
        <v>0.08</v>
      </c>
      <c r="H30" s="7">
        <v>95680</v>
      </c>
      <c r="I30" s="4">
        <v>84000</v>
      </c>
      <c r="J30" s="7">
        <v>11680</v>
      </c>
      <c r="K30" s="4" t="s">
        <v>137</v>
      </c>
      <c r="L30" s="4" t="s">
        <v>35</v>
      </c>
    </row>
    <row r="31" spans="1:12" x14ac:dyDescent="0.25">
      <c r="A31" s="4" t="s">
        <v>138</v>
      </c>
      <c r="B31" s="6">
        <v>45798</v>
      </c>
      <c r="C31" s="4" t="s">
        <v>139</v>
      </c>
      <c r="D31" s="4" t="s">
        <v>115</v>
      </c>
      <c r="E31" s="4" t="s">
        <v>49</v>
      </c>
      <c r="F31" s="7">
        <v>13</v>
      </c>
      <c r="G31" s="7">
        <v>0</v>
      </c>
      <c r="H31" s="7">
        <v>62400</v>
      </c>
      <c r="I31" s="4">
        <v>41600</v>
      </c>
      <c r="J31" s="7">
        <v>20800</v>
      </c>
      <c r="K31" s="4" t="s">
        <v>44</v>
      </c>
      <c r="L31" s="4" t="s">
        <v>35</v>
      </c>
    </row>
    <row r="32" spans="1:12" x14ac:dyDescent="0.25">
      <c r="A32" s="4" t="s">
        <v>140</v>
      </c>
      <c r="B32" s="6">
        <v>45791</v>
      </c>
      <c r="C32" s="4" t="s">
        <v>141</v>
      </c>
      <c r="D32" s="4" t="s">
        <v>142</v>
      </c>
      <c r="E32" s="4" t="s">
        <v>116</v>
      </c>
      <c r="F32" s="7">
        <v>4</v>
      </c>
      <c r="G32" s="7">
        <v>0.1</v>
      </c>
      <c r="H32" s="7">
        <v>43200</v>
      </c>
      <c r="I32" s="4">
        <v>34000</v>
      </c>
      <c r="J32" s="7">
        <v>9200</v>
      </c>
      <c r="K32" s="4" t="s">
        <v>102</v>
      </c>
      <c r="L32" s="4" t="s">
        <v>35</v>
      </c>
    </row>
    <row r="33" spans="1:12" x14ac:dyDescent="0.25">
      <c r="A33" s="4" t="s">
        <v>143</v>
      </c>
      <c r="B33" s="6">
        <v>45687</v>
      </c>
      <c r="C33" s="4" t="s">
        <v>80</v>
      </c>
      <c r="D33" s="4" t="s">
        <v>144</v>
      </c>
      <c r="E33" s="4" t="s">
        <v>145</v>
      </c>
      <c r="F33" s="7">
        <v>4</v>
      </c>
      <c r="G33" s="7">
        <v>0.03</v>
      </c>
      <c r="H33" s="7">
        <v>9700</v>
      </c>
      <c r="I33" s="4">
        <v>6400</v>
      </c>
      <c r="J33" s="7">
        <v>3300</v>
      </c>
      <c r="K33" s="4" t="s">
        <v>63</v>
      </c>
      <c r="L33" s="4" t="s">
        <v>35</v>
      </c>
    </row>
    <row r="34" spans="1:12" x14ac:dyDescent="0.25">
      <c r="A34" s="4" t="s">
        <v>146</v>
      </c>
      <c r="B34" s="6">
        <v>45838</v>
      </c>
      <c r="C34" s="4" t="s">
        <v>147</v>
      </c>
      <c r="D34" s="4" t="s">
        <v>148</v>
      </c>
      <c r="E34" s="4" t="s">
        <v>62</v>
      </c>
      <c r="F34" s="7">
        <v>7</v>
      </c>
      <c r="G34" s="7">
        <v>0.03</v>
      </c>
      <c r="H34" s="7">
        <v>71295</v>
      </c>
      <c r="I34" s="4">
        <v>52500</v>
      </c>
      <c r="J34" s="7">
        <v>18795</v>
      </c>
      <c r="K34" s="4" t="s">
        <v>102</v>
      </c>
      <c r="L34" s="4" t="s">
        <v>35</v>
      </c>
    </row>
    <row r="35" spans="1:12" x14ac:dyDescent="0.25">
      <c r="A35" s="4" t="s">
        <v>149</v>
      </c>
      <c r="B35" s="6">
        <v>45718</v>
      </c>
      <c r="C35" s="4" t="s">
        <v>150</v>
      </c>
      <c r="D35" s="4" t="s">
        <v>151</v>
      </c>
      <c r="E35" s="4" t="s">
        <v>152</v>
      </c>
      <c r="F35" s="7">
        <v>16</v>
      </c>
      <c r="G35" s="7">
        <v>0.03</v>
      </c>
      <c r="H35" s="7">
        <v>43456</v>
      </c>
      <c r="I35" s="4">
        <v>28800</v>
      </c>
      <c r="J35" s="7">
        <v>14656</v>
      </c>
      <c r="K35" s="4" t="s">
        <v>63</v>
      </c>
      <c r="L35" s="4" t="s">
        <v>122</v>
      </c>
    </row>
    <row r="36" spans="1:12" x14ac:dyDescent="0.25">
      <c r="A36" s="4" t="s">
        <v>153</v>
      </c>
      <c r="B36" s="6">
        <v>45788</v>
      </c>
      <c r="C36" s="4" t="s">
        <v>154</v>
      </c>
      <c r="D36" s="4" t="s">
        <v>94</v>
      </c>
      <c r="E36" s="4" t="s">
        <v>95</v>
      </c>
      <c r="F36" s="7">
        <v>5</v>
      </c>
      <c r="G36" s="7">
        <v>0</v>
      </c>
      <c r="H36" s="7">
        <v>260000</v>
      </c>
      <c r="I36" s="4">
        <v>210000</v>
      </c>
      <c r="J36" s="7">
        <v>50000</v>
      </c>
      <c r="K36" s="4" t="s">
        <v>63</v>
      </c>
      <c r="L36" s="4" t="s">
        <v>35</v>
      </c>
    </row>
    <row r="37" spans="1:12" x14ac:dyDescent="0.25">
      <c r="A37" s="4" t="s">
        <v>155</v>
      </c>
      <c r="B37" s="6">
        <v>45776</v>
      </c>
      <c r="C37" s="4" t="s">
        <v>156</v>
      </c>
      <c r="D37" s="4" t="s">
        <v>112</v>
      </c>
      <c r="E37" s="4" t="s">
        <v>62</v>
      </c>
      <c r="F37" s="7">
        <v>10</v>
      </c>
      <c r="G37" s="7">
        <v>0.03</v>
      </c>
      <c r="H37" s="7">
        <v>101850</v>
      </c>
      <c r="I37" s="4">
        <v>75000</v>
      </c>
      <c r="J37" s="7">
        <v>26850</v>
      </c>
      <c r="K37" s="4" t="s">
        <v>102</v>
      </c>
      <c r="L37" s="4" t="s">
        <v>35</v>
      </c>
    </row>
    <row r="38" spans="1:12" x14ac:dyDescent="0.25">
      <c r="A38" s="4" t="s">
        <v>157</v>
      </c>
      <c r="B38" s="6">
        <v>45687</v>
      </c>
      <c r="C38" s="4" t="s">
        <v>73</v>
      </c>
      <c r="D38" s="4" t="s">
        <v>158</v>
      </c>
      <c r="E38" s="4" t="s">
        <v>53</v>
      </c>
      <c r="F38" s="7">
        <v>11</v>
      </c>
      <c r="G38" s="7">
        <v>0.05</v>
      </c>
      <c r="H38" s="7">
        <v>43890</v>
      </c>
      <c r="I38" s="4">
        <v>30800</v>
      </c>
      <c r="J38" s="7">
        <v>13090</v>
      </c>
      <c r="K38" s="4" t="s">
        <v>117</v>
      </c>
      <c r="L38" s="4" t="s">
        <v>35</v>
      </c>
    </row>
    <row r="39" spans="1:12" x14ac:dyDescent="0.25">
      <c r="A39" s="4" t="s">
        <v>159</v>
      </c>
      <c r="B39" s="6">
        <v>45749</v>
      </c>
      <c r="C39" s="4" t="s">
        <v>160</v>
      </c>
      <c r="D39" s="4" t="s">
        <v>161</v>
      </c>
      <c r="E39" s="4" t="s">
        <v>162</v>
      </c>
      <c r="F39" s="7">
        <v>6</v>
      </c>
      <c r="G39" s="7">
        <v>0.03</v>
      </c>
      <c r="H39" s="7">
        <v>93120</v>
      </c>
      <c r="I39" s="4">
        <v>69000</v>
      </c>
      <c r="J39" s="7">
        <v>24120</v>
      </c>
      <c r="K39" s="4" t="s">
        <v>39</v>
      </c>
      <c r="L39" s="4" t="s">
        <v>35</v>
      </c>
    </row>
    <row r="40" spans="1:12" x14ac:dyDescent="0.25">
      <c r="A40" s="4" t="s">
        <v>163</v>
      </c>
      <c r="B40" s="6">
        <v>45687</v>
      </c>
      <c r="C40" s="4" t="s">
        <v>114</v>
      </c>
      <c r="D40" s="4" t="s">
        <v>164</v>
      </c>
      <c r="E40" s="4" t="s">
        <v>33</v>
      </c>
      <c r="F40" s="7">
        <v>11</v>
      </c>
      <c r="G40" s="7">
        <v>0</v>
      </c>
      <c r="H40" s="7">
        <v>39600</v>
      </c>
      <c r="I40" s="4">
        <v>26400</v>
      </c>
      <c r="J40" s="7">
        <v>13200</v>
      </c>
      <c r="K40" s="4" t="s">
        <v>44</v>
      </c>
      <c r="L40" s="4" t="s">
        <v>45</v>
      </c>
    </row>
    <row r="41" spans="1:12" x14ac:dyDescent="0.25">
      <c r="A41" s="4" t="s">
        <v>165</v>
      </c>
      <c r="B41" s="6">
        <v>45765</v>
      </c>
      <c r="C41" s="4" t="s">
        <v>147</v>
      </c>
      <c r="D41" s="4" t="s">
        <v>166</v>
      </c>
      <c r="E41" s="4" t="s">
        <v>95</v>
      </c>
      <c r="F41" s="7">
        <v>16</v>
      </c>
      <c r="G41" s="7">
        <v>0.12</v>
      </c>
      <c r="H41" s="7">
        <v>732160</v>
      </c>
      <c r="I41" s="4">
        <v>672000</v>
      </c>
      <c r="J41" s="7">
        <v>60160</v>
      </c>
      <c r="K41" s="4" t="s">
        <v>34</v>
      </c>
      <c r="L41" s="4" t="s">
        <v>35</v>
      </c>
    </row>
    <row r="42" spans="1:12" x14ac:dyDescent="0.25">
      <c r="A42" s="4" t="s">
        <v>167</v>
      </c>
      <c r="B42" s="6">
        <v>45764</v>
      </c>
      <c r="C42" s="4" t="s">
        <v>168</v>
      </c>
      <c r="D42" s="4" t="s">
        <v>48</v>
      </c>
      <c r="E42" s="4" t="s">
        <v>91</v>
      </c>
      <c r="F42" s="7">
        <v>6</v>
      </c>
      <c r="G42" s="7">
        <v>0</v>
      </c>
      <c r="H42" s="7">
        <v>20400</v>
      </c>
      <c r="I42" s="4">
        <v>13200</v>
      </c>
      <c r="J42" s="7">
        <v>7200</v>
      </c>
      <c r="K42" s="4" t="s">
        <v>39</v>
      </c>
      <c r="L42" s="4" t="s">
        <v>45</v>
      </c>
    </row>
    <row r="43" spans="1:12" x14ac:dyDescent="0.25">
      <c r="A43" s="4" t="s">
        <v>169</v>
      </c>
      <c r="B43" s="6">
        <v>45749</v>
      </c>
      <c r="C43" s="4" t="s">
        <v>170</v>
      </c>
      <c r="D43" s="4" t="s">
        <v>171</v>
      </c>
      <c r="E43" s="4" t="s">
        <v>62</v>
      </c>
      <c r="F43" s="7">
        <v>13</v>
      </c>
      <c r="G43" s="7">
        <v>0.12</v>
      </c>
      <c r="H43" s="7">
        <v>120120</v>
      </c>
      <c r="I43" s="4">
        <v>97500</v>
      </c>
      <c r="J43" s="7">
        <v>22620</v>
      </c>
      <c r="K43" s="4" t="s">
        <v>34</v>
      </c>
      <c r="L43" s="4" t="s">
        <v>35</v>
      </c>
    </row>
    <row r="44" spans="1:12" x14ac:dyDescent="0.25">
      <c r="A44" s="4" t="s">
        <v>172</v>
      </c>
      <c r="B44" s="6">
        <v>45763</v>
      </c>
      <c r="C44" s="4" t="s">
        <v>173</v>
      </c>
      <c r="D44" s="4" t="s">
        <v>174</v>
      </c>
      <c r="E44" s="4" t="s">
        <v>91</v>
      </c>
      <c r="F44" s="7">
        <v>16</v>
      </c>
      <c r="G44" s="7">
        <v>0</v>
      </c>
      <c r="H44" s="7">
        <v>54400</v>
      </c>
      <c r="I44" s="4">
        <v>35200</v>
      </c>
      <c r="J44" s="7">
        <v>19200</v>
      </c>
      <c r="K44" s="4" t="s">
        <v>102</v>
      </c>
      <c r="L44" s="4" t="s">
        <v>35</v>
      </c>
    </row>
    <row r="45" spans="1:12" x14ac:dyDescent="0.25">
      <c r="A45" s="4" t="s">
        <v>175</v>
      </c>
      <c r="B45" s="6">
        <v>45805</v>
      </c>
      <c r="C45" s="4" t="s">
        <v>147</v>
      </c>
      <c r="D45" s="4" t="s">
        <v>48</v>
      </c>
      <c r="E45" s="4" t="s">
        <v>78</v>
      </c>
      <c r="F45" s="7">
        <v>17</v>
      </c>
      <c r="G45" s="7">
        <v>0.12</v>
      </c>
      <c r="H45" s="7">
        <v>134640</v>
      </c>
      <c r="I45" s="4">
        <v>110500</v>
      </c>
      <c r="J45" s="7">
        <v>24140</v>
      </c>
      <c r="K45" s="4" t="s">
        <v>39</v>
      </c>
      <c r="L45" s="4" t="s">
        <v>35</v>
      </c>
    </row>
    <row r="46" spans="1:12" x14ac:dyDescent="0.25">
      <c r="A46" s="4" t="s">
        <v>176</v>
      </c>
      <c r="B46" s="6">
        <v>45827</v>
      </c>
      <c r="C46" s="4" t="s">
        <v>177</v>
      </c>
      <c r="D46" s="4" t="s">
        <v>161</v>
      </c>
      <c r="E46" s="4" t="s">
        <v>95</v>
      </c>
      <c r="F46" s="7">
        <v>4</v>
      </c>
      <c r="G46" s="7">
        <v>0.05</v>
      </c>
      <c r="H46" s="7">
        <v>197600</v>
      </c>
      <c r="I46" s="4">
        <v>168000</v>
      </c>
      <c r="J46" s="7">
        <v>29600</v>
      </c>
      <c r="K46" s="4" t="s">
        <v>39</v>
      </c>
      <c r="L46" s="4" t="s">
        <v>45</v>
      </c>
    </row>
    <row r="47" spans="1:12" x14ac:dyDescent="0.25">
      <c r="A47" s="4" t="s">
        <v>178</v>
      </c>
      <c r="B47" s="6">
        <v>45671</v>
      </c>
      <c r="C47" s="4" t="s">
        <v>179</v>
      </c>
      <c r="D47" s="4" t="s">
        <v>42</v>
      </c>
      <c r="E47" s="4" t="s">
        <v>78</v>
      </c>
      <c r="F47" s="7">
        <v>18</v>
      </c>
      <c r="G47" s="7">
        <v>0.08</v>
      </c>
      <c r="H47" s="7">
        <v>149040</v>
      </c>
      <c r="I47" s="4">
        <v>117000</v>
      </c>
      <c r="J47" s="7">
        <v>32040</v>
      </c>
      <c r="K47" s="4" t="s">
        <v>44</v>
      </c>
      <c r="L47" s="4" t="s">
        <v>45</v>
      </c>
    </row>
    <row r="48" spans="1:12" x14ac:dyDescent="0.25">
      <c r="A48" s="4" t="s">
        <v>180</v>
      </c>
      <c r="B48" s="6">
        <v>45783</v>
      </c>
      <c r="C48" s="4" t="s">
        <v>181</v>
      </c>
      <c r="D48" s="4" t="s">
        <v>182</v>
      </c>
      <c r="E48" s="4" t="s">
        <v>53</v>
      </c>
      <c r="F48" s="7">
        <v>6</v>
      </c>
      <c r="G48" s="7">
        <v>0</v>
      </c>
      <c r="H48" s="7">
        <v>25200</v>
      </c>
      <c r="I48" s="4">
        <v>16800</v>
      </c>
      <c r="J48" s="7">
        <v>8400</v>
      </c>
      <c r="K48" s="4" t="s">
        <v>102</v>
      </c>
      <c r="L48" s="4" t="s">
        <v>122</v>
      </c>
    </row>
    <row r="49" spans="1:12" x14ac:dyDescent="0.25">
      <c r="A49" s="4" t="s">
        <v>183</v>
      </c>
      <c r="B49" s="6">
        <v>45718</v>
      </c>
      <c r="C49" s="4" t="s">
        <v>184</v>
      </c>
      <c r="D49" s="4" t="s">
        <v>185</v>
      </c>
      <c r="E49" s="4" t="s">
        <v>85</v>
      </c>
      <c r="F49" s="7">
        <v>13</v>
      </c>
      <c r="G49" s="7">
        <v>0.05</v>
      </c>
      <c r="H49" s="7">
        <v>80275</v>
      </c>
      <c r="I49" s="4">
        <v>54600</v>
      </c>
      <c r="J49" s="7">
        <v>25675</v>
      </c>
      <c r="K49" s="4" t="s">
        <v>102</v>
      </c>
      <c r="L49" s="4" t="s">
        <v>35</v>
      </c>
    </row>
    <row r="50" spans="1:12" x14ac:dyDescent="0.25">
      <c r="A50" s="4" t="s">
        <v>186</v>
      </c>
      <c r="B50" s="6">
        <v>45688</v>
      </c>
      <c r="C50" s="4" t="s">
        <v>141</v>
      </c>
      <c r="D50" s="4" t="s">
        <v>52</v>
      </c>
      <c r="E50" s="4" t="s">
        <v>67</v>
      </c>
      <c r="F50" s="7">
        <v>15</v>
      </c>
      <c r="G50" s="7">
        <v>0.03</v>
      </c>
      <c r="H50" s="7">
        <v>98940</v>
      </c>
      <c r="I50" s="4">
        <v>67500</v>
      </c>
      <c r="J50" s="7">
        <v>31440</v>
      </c>
      <c r="K50" s="4" t="s">
        <v>187</v>
      </c>
      <c r="L50" s="4" t="s">
        <v>45</v>
      </c>
    </row>
    <row r="51" spans="1:12" x14ac:dyDescent="0.25">
      <c r="A51" s="4" t="s">
        <v>188</v>
      </c>
      <c r="B51" s="6">
        <v>45658</v>
      </c>
      <c r="C51" s="4" t="s">
        <v>189</v>
      </c>
      <c r="D51" s="4" t="s">
        <v>38</v>
      </c>
      <c r="E51" s="4" t="s">
        <v>81</v>
      </c>
      <c r="F51" s="7">
        <v>18</v>
      </c>
      <c r="G51" s="7">
        <v>0.08</v>
      </c>
      <c r="H51" s="7">
        <v>149040</v>
      </c>
      <c r="I51" s="4">
        <v>117000</v>
      </c>
      <c r="J51" s="7">
        <v>32040</v>
      </c>
      <c r="K51" s="4" t="s">
        <v>39</v>
      </c>
      <c r="L51" s="4" t="s">
        <v>35</v>
      </c>
    </row>
    <row r="52" spans="1:12" x14ac:dyDescent="0.25">
      <c r="A52" s="4" t="s">
        <v>190</v>
      </c>
      <c r="B52" s="6">
        <v>45825</v>
      </c>
      <c r="C52" s="4" t="s">
        <v>191</v>
      </c>
      <c r="D52" s="4" t="s">
        <v>192</v>
      </c>
      <c r="E52" s="4" t="s">
        <v>81</v>
      </c>
      <c r="F52" s="7">
        <v>18</v>
      </c>
      <c r="G52" s="7">
        <v>0</v>
      </c>
      <c r="H52" s="7">
        <v>162000</v>
      </c>
      <c r="I52" s="4">
        <v>117000</v>
      </c>
      <c r="J52" s="7">
        <v>45000</v>
      </c>
      <c r="K52" s="4" t="s">
        <v>34</v>
      </c>
      <c r="L52" s="4" t="s">
        <v>35</v>
      </c>
    </row>
    <row r="53" spans="1:12" x14ac:dyDescent="0.25">
      <c r="A53" s="4" t="s">
        <v>193</v>
      </c>
      <c r="B53" s="6">
        <v>45801</v>
      </c>
      <c r="C53" s="4" t="s">
        <v>194</v>
      </c>
      <c r="D53" s="4" t="s">
        <v>158</v>
      </c>
      <c r="E53" s="4" t="s">
        <v>195</v>
      </c>
      <c r="F53" s="7">
        <v>15</v>
      </c>
      <c r="G53" s="7">
        <v>0.03</v>
      </c>
      <c r="H53" s="7">
        <v>16005</v>
      </c>
      <c r="I53" s="4">
        <v>9750</v>
      </c>
      <c r="J53" s="7">
        <v>6255</v>
      </c>
      <c r="K53" s="4" t="s">
        <v>44</v>
      </c>
      <c r="L53" s="4" t="s">
        <v>35</v>
      </c>
    </row>
    <row r="54" spans="1:12" x14ac:dyDescent="0.25">
      <c r="A54" s="4" t="s">
        <v>196</v>
      </c>
      <c r="B54" s="6">
        <v>45826</v>
      </c>
      <c r="C54" s="4" t="s">
        <v>197</v>
      </c>
      <c r="D54" s="4" t="s">
        <v>74</v>
      </c>
      <c r="E54" s="4" t="s">
        <v>33</v>
      </c>
      <c r="F54" s="7">
        <v>4</v>
      </c>
      <c r="G54" s="7">
        <v>0</v>
      </c>
      <c r="H54" s="7">
        <v>14400</v>
      </c>
      <c r="I54" s="4">
        <v>9600</v>
      </c>
      <c r="J54" s="7">
        <v>4800</v>
      </c>
      <c r="K54" s="4" t="s">
        <v>63</v>
      </c>
      <c r="L54" s="4" t="s">
        <v>35</v>
      </c>
    </row>
    <row r="55" spans="1:12" x14ac:dyDescent="0.25">
      <c r="A55" s="4" t="s">
        <v>198</v>
      </c>
      <c r="B55" s="6">
        <v>45685</v>
      </c>
      <c r="C55" s="4" t="s">
        <v>199</v>
      </c>
      <c r="D55" s="4" t="s">
        <v>174</v>
      </c>
      <c r="E55" s="4" t="s">
        <v>49</v>
      </c>
      <c r="F55" s="7">
        <v>12</v>
      </c>
      <c r="G55" s="7">
        <v>0.1</v>
      </c>
      <c r="H55" s="7">
        <v>51840</v>
      </c>
      <c r="I55" s="4">
        <v>38400</v>
      </c>
      <c r="J55" s="7">
        <v>13440</v>
      </c>
      <c r="K55" s="4" t="s">
        <v>102</v>
      </c>
      <c r="L55" s="4" t="s">
        <v>45</v>
      </c>
    </row>
    <row r="56" spans="1:12" x14ac:dyDescent="0.25">
      <c r="A56" s="4" t="s">
        <v>200</v>
      </c>
      <c r="B56" s="6">
        <v>45688</v>
      </c>
      <c r="C56" s="4" t="s">
        <v>201</v>
      </c>
      <c r="D56" s="4" t="s">
        <v>202</v>
      </c>
      <c r="E56" s="4" t="s">
        <v>145</v>
      </c>
      <c r="F56" s="7">
        <v>7</v>
      </c>
      <c r="G56" s="7">
        <v>0</v>
      </c>
      <c r="H56" s="7">
        <v>17500</v>
      </c>
      <c r="I56" s="4">
        <v>11200</v>
      </c>
      <c r="J56" s="7">
        <v>6300</v>
      </c>
      <c r="K56" s="4" t="s">
        <v>102</v>
      </c>
      <c r="L56" s="4" t="s">
        <v>35</v>
      </c>
    </row>
    <row r="57" spans="1:12" x14ac:dyDescent="0.25">
      <c r="A57" s="4" t="s">
        <v>203</v>
      </c>
      <c r="B57" s="6">
        <v>45764</v>
      </c>
      <c r="C57" s="4" t="s">
        <v>179</v>
      </c>
      <c r="D57" s="4" t="s">
        <v>98</v>
      </c>
      <c r="E57" s="4" t="s">
        <v>67</v>
      </c>
      <c r="F57" s="7">
        <v>4</v>
      </c>
      <c r="G57" s="7">
        <v>0.12</v>
      </c>
      <c r="H57" s="7">
        <v>23936</v>
      </c>
      <c r="I57" s="4">
        <v>18000</v>
      </c>
      <c r="J57" s="7">
        <v>5936</v>
      </c>
      <c r="K57" s="4" t="s">
        <v>39</v>
      </c>
      <c r="L57" s="4" t="s">
        <v>35</v>
      </c>
    </row>
    <row r="58" spans="1:12" x14ac:dyDescent="0.25">
      <c r="A58" s="4" t="s">
        <v>204</v>
      </c>
      <c r="B58" s="6">
        <v>45826</v>
      </c>
      <c r="C58" s="4" t="s">
        <v>205</v>
      </c>
      <c r="D58" s="4" t="s">
        <v>161</v>
      </c>
      <c r="E58" s="4" t="s">
        <v>43</v>
      </c>
      <c r="F58" s="7">
        <v>15</v>
      </c>
      <c r="G58" s="7">
        <v>0.05</v>
      </c>
      <c r="H58" s="7">
        <v>27075</v>
      </c>
      <c r="I58" s="4">
        <v>18000</v>
      </c>
      <c r="J58" s="7">
        <v>9075</v>
      </c>
      <c r="K58" s="4" t="s">
        <v>39</v>
      </c>
      <c r="L58" s="4" t="s">
        <v>35</v>
      </c>
    </row>
    <row r="59" spans="1:12" x14ac:dyDescent="0.25">
      <c r="A59" s="4" t="s">
        <v>206</v>
      </c>
      <c r="B59" s="6">
        <v>45768</v>
      </c>
      <c r="C59" s="4" t="s">
        <v>207</v>
      </c>
      <c r="D59" s="4" t="s">
        <v>174</v>
      </c>
      <c r="E59" s="4" t="s">
        <v>57</v>
      </c>
      <c r="F59" s="7">
        <v>2</v>
      </c>
      <c r="G59" s="7">
        <v>0.08</v>
      </c>
      <c r="H59" s="7">
        <v>9568</v>
      </c>
      <c r="I59" s="4">
        <v>7000</v>
      </c>
      <c r="J59" s="7">
        <v>2568</v>
      </c>
      <c r="K59" s="4" t="s">
        <v>102</v>
      </c>
      <c r="L59" s="4" t="s">
        <v>35</v>
      </c>
    </row>
    <row r="60" spans="1:12" x14ac:dyDescent="0.25">
      <c r="A60" s="4" t="s">
        <v>208</v>
      </c>
      <c r="B60" s="6">
        <v>45690</v>
      </c>
      <c r="C60" s="4" t="s">
        <v>119</v>
      </c>
      <c r="D60" s="4" t="s">
        <v>209</v>
      </c>
      <c r="E60" s="4" t="s">
        <v>85</v>
      </c>
      <c r="F60" s="7">
        <v>6</v>
      </c>
      <c r="G60" s="7">
        <v>0.1</v>
      </c>
      <c r="H60" s="7">
        <v>35100</v>
      </c>
      <c r="I60" s="4">
        <v>25200</v>
      </c>
      <c r="J60" s="7">
        <v>9900</v>
      </c>
      <c r="K60" s="4" t="s">
        <v>102</v>
      </c>
      <c r="L60" s="4" t="s">
        <v>35</v>
      </c>
    </row>
    <row r="61" spans="1:12" x14ac:dyDescent="0.25">
      <c r="A61" s="4" t="s">
        <v>210</v>
      </c>
      <c r="B61" s="6">
        <v>45813</v>
      </c>
      <c r="C61" s="4" t="s">
        <v>211</v>
      </c>
      <c r="D61" s="4" t="s">
        <v>209</v>
      </c>
      <c r="E61" s="4" t="s">
        <v>145</v>
      </c>
      <c r="F61" s="7">
        <v>13</v>
      </c>
      <c r="G61" s="7">
        <v>0.05</v>
      </c>
      <c r="H61" s="7">
        <v>30875</v>
      </c>
      <c r="I61" s="4">
        <v>20800</v>
      </c>
      <c r="J61" s="7">
        <v>10075</v>
      </c>
      <c r="K61" s="4" t="s">
        <v>102</v>
      </c>
      <c r="L61" s="4" t="s">
        <v>35</v>
      </c>
    </row>
    <row r="62" spans="1:12" x14ac:dyDescent="0.25">
      <c r="A62" s="4" t="s">
        <v>212</v>
      </c>
      <c r="B62" s="6">
        <v>45692</v>
      </c>
      <c r="C62" s="4" t="s">
        <v>213</v>
      </c>
      <c r="D62" s="4" t="s">
        <v>101</v>
      </c>
      <c r="E62" s="4" t="s">
        <v>33</v>
      </c>
      <c r="F62" s="7">
        <v>15</v>
      </c>
      <c r="G62" s="7">
        <v>0.12</v>
      </c>
      <c r="H62" s="7">
        <v>47520</v>
      </c>
      <c r="I62" s="4">
        <v>36000</v>
      </c>
      <c r="J62" s="7">
        <v>11520</v>
      </c>
      <c r="K62" s="4" t="s">
        <v>102</v>
      </c>
      <c r="L62" s="4" t="s">
        <v>122</v>
      </c>
    </row>
    <row r="63" spans="1:12" x14ac:dyDescent="0.25">
      <c r="A63" s="4" t="s">
        <v>214</v>
      </c>
      <c r="B63" s="6">
        <v>45738</v>
      </c>
      <c r="C63" s="4" t="s">
        <v>130</v>
      </c>
      <c r="D63" s="4" t="s">
        <v>182</v>
      </c>
      <c r="E63" s="4" t="s">
        <v>162</v>
      </c>
      <c r="F63" s="7">
        <v>18</v>
      </c>
      <c r="G63" s="7"/>
      <c r="H63" s="7">
        <v>253440</v>
      </c>
      <c r="I63" s="4">
        <v>207000</v>
      </c>
      <c r="J63" s="7">
        <v>46440</v>
      </c>
      <c r="K63" s="4" t="s">
        <v>102</v>
      </c>
      <c r="L63" s="4" t="s">
        <v>35</v>
      </c>
    </row>
    <row r="64" spans="1:12" x14ac:dyDescent="0.25">
      <c r="A64" s="4" t="s">
        <v>215</v>
      </c>
      <c r="B64" s="6">
        <v>45746</v>
      </c>
      <c r="C64" s="4" t="s">
        <v>216</v>
      </c>
      <c r="D64" s="4" t="s">
        <v>42</v>
      </c>
      <c r="E64" s="4" t="s">
        <v>49</v>
      </c>
      <c r="F64" s="7">
        <v>10</v>
      </c>
      <c r="G64" s="7">
        <v>0.1</v>
      </c>
      <c r="H64" s="7">
        <v>43200</v>
      </c>
      <c r="I64" s="4">
        <v>32000</v>
      </c>
      <c r="J64" s="7">
        <v>11200</v>
      </c>
      <c r="K64" s="4" t="s">
        <v>44</v>
      </c>
      <c r="L64" s="4" t="s">
        <v>35</v>
      </c>
    </row>
    <row r="65" spans="1:12" x14ac:dyDescent="0.25">
      <c r="A65" s="4" t="s">
        <v>217</v>
      </c>
      <c r="B65" s="6">
        <v>45687</v>
      </c>
      <c r="C65" s="4" t="s">
        <v>218</v>
      </c>
      <c r="D65" s="4" t="s">
        <v>219</v>
      </c>
      <c r="E65" s="4" t="s">
        <v>152</v>
      </c>
      <c r="F65" s="7">
        <v>11</v>
      </c>
      <c r="G65" s="7">
        <v>0.1</v>
      </c>
      <c r="H65" s="7">
        <v>27720</v>
      </c>
      <c r="I65" s="4">
        <v>19800</v>
      </c>
      <c r="J65" s="7">
        <v>7920</v>
      </c>
      <c r="K65" s="4" t="s">
        <v>63</v>
      </c>
      <c r="L65" s="4" t="s">
        <v>45</v>
      </c>
    </row>
    <row r="66" spans="1:12" x14ac:dyDescent="0.25">
      <c r="A66" s="4" t="s">
        <v>220</v>
      </c>
      <c r="B66" s="6">
        <v>45766</v>
      </c>
      <c r="C66" s="4" t="s">
        <v>221</v>
      </c>
      <c r="D66" s="4" t="s">
        <v>52</v>
      </c>
      <c r="E66" s="4" t="s">
        <v>162</v>
      </c>
      <c r="F66" s="7">
        <v>18</v>
      </c>
      <c r="G66" s="7">
        <v>0.03</v>
      </c>
      <c r="H66" s="7">
        <v>279360</v>
      </c>
      <c r="I66" s="4">
        <v>207000</v>
      </c>
      <c r="J66" s="7">
        <v>72360</v>
      </c>
      <c r="K66" s="4" t="s">
        <v>187</v>
      </c>
      <c r="L66" s="4" t="s">
        <v>35</v>
      </c>
    </row>
    <row r="67" spans="1:12" x14ac:dyDescent="0.25">
      <c r="A67" s="4" t="s">
        <v>222</v>
      </c>
      <c r="B67" s="6">
        <v>45726</v>
      </c>
      <c r="C67" s="4" t="s">
        <v>223</v>
      </c>
      <c r="D67" s="4" t="s">
        <v>182</v>
      </c>
      <c r="E67" s="4" t="s">
        <v>81</v>
      </c>
      <c r="F67" s="7">
        <v>2</v>
      </c>
      <c r="G67" s="7">
        <v>0</v>
      </c>
      <c r="H67" s="7">
        <v>18000</v>
      </c>
      <c r="I67" s="4">
        <v>13000</v>
      </c>
      <c r="J67" s="7">
        <v>5000</v>
      </c>
      <c r="K67" s="4" t="s">
        <v>102</v>
      </c>
      <c r="L67" s="4" t="s">
        <v>35</v>
      </c>
    </row>
    <row r="68" spans="1:12" x14ac:dyDescent="0.25">
      <c r="A68" s="4" t="s">
        <v>224</v>
      </c>
      <c r="B68" s="6">
        <v>45733</v>
      </c>
      <c r="C68" s="4" t="s">
        <v>225</v>
      </c>
      <c r="D68" s="4" t="s">
        <v>148</v>
      </c>
      <c r="E68" s="4" t="s">
        <v>78</v>
      </c>
      <c r="F68" s="7">
        <v>2</v>
      </c>
      <c r="G68" s="7">
        <v>0.1</v>
      </c>
      <c r="H68" s="7">
        <v>16200</v>
      </c>
      <c r="I68" s="4">
        <v>13000</v>
      </c>
      <c r="J68" s="7">
        <v>3200</v>
      </c>
      <c r="K68" s="4" t="s">
        <v>102</v>
      </c>
      <c r="L68" s="4" t="s">
        <v>45</v>
      </c>
    </row>
    <row r="69" spans="1:12" x14ac:dyDescent="0.25">
      <c r="A69" s="4" t="s">
        <v>226</v>
      </c>
      <c r="B69" s="6">
        <v>45715</v>
      </c>
      <c r="C69" s="4" t="s">
        <v>127</v>
      </c>
      <c r="D69" s="4" t="s">
        <v>227</v>
      </c>
      <c r="E69" s="4" t="s">
        <v>85</v>
      </c>
      <c r="F69" s="7">
        <v>18</v>
      </c>
      <c r="G69" s="7">
        <v>0.12</v>
      </c>
      <c r="H69" s="7">
        <v>102960</v>
      </c>
      <c r="I69" s="4">
        <v>75600</v>
      </c>
      <c r="J69" s="7">
        <v>27360</v>
      </c>
      <c r="K69" s="4" t="s">
        <v>44</v>
      </c>
      <c r="L69" s="4" t="s">
        <v>35</v>
      </c>
    </row>
    <row r="70" spans="1:12" x14ac:dyDescent="0.25">
      <c r="A70" s="4" t="s">
        <v>228</v>
      </c>
      <c r="B70" s="6">
        <v>45757</v>
      </c>
      <c r="C70" s="4" t="s">
        <v>111</v>
      </c>
      <c r="D70" s="4" t="s">
        <v>158</v>
      </c>
      <c r="E70" s="4" t="s">
        <v>57</v>
      </c>
      <c r="F70" s="7">
        <v>2</v>
      </c>
      <c r="G70" s="7">
        <v>0.05</v>
      </c>
      <c r="H70" s="7">
        <v>9880</v>
      </c>
      <c r="I70" s="4">
        <v>7000</v>
      </c>
      <c r="J70" s="7">
        <v>2880</v>
      </c>
      <c r="K70" s="4" t="s">
        <v>44</v>
      </c>
      <c r="L70" s="4" t="s">
        <v>122</v>
      </c>
    </row>
    <row r="71" spans="1:12" x14ac:dyDescent="0.25">
      <c r="A71" s="4" t="s">
        <v>229</v>
      </c>
      <c r="B71" s="6">
        <v>45816</v>
      </c>
      <c r="C71" s="4" t="s">
        <v>230</v>
      </c>
      <c r="D71" s="4" t="s">
        <v>231</v>
      </c>
      <c r="E71" s="4" t="s">
        <v>95</v>
      </c>
      <c r="F71" s="7">
        <v>9</v>
      </c>
      <c r="G71" s="7">
        <v>0</v>
      </c>
      <c r="H71" s="7">
        <v>468000</v>
      </c>
      <c r="I71" s="4">
        <v>378000</v>
      </c>
      <c r="J71" s="7">
        <v>90000</v>
      </c>
      <c r="K71" s="4" t="s">
        <v>44</v>
      </c>
      <c r="L71" s="4" t="s">
        <v>35</v>
      </c>
    </row>
    <row r="72" spans="1:12" x14ac:dyDescent="0.25">
      <c r="A72" s="4" t="s">
        <v>232</v>
      </c>
      <c r="B72" s="6">
        <v>45808</v>
      </c>
      <c r="C72" s="4" t="s">
        <v>233</v>
      </c>
      <c r="D72" s="4" t="s">
        <v>234</v>
      </c>
      <c r="E72" s="4" t="s">
        <v>33</v>
      </c>
      <c r="F72" s="7">
        <v>12</v>
      </c>
      <c r="G72" s="7">
        <v>0.12</v>
      </c>
      <c r="H72" s="7">
        <v>38016</v>
      </c>
      <c r="I72" s="4">
        <v>28800</v>
      </c>
      <c r="J72" s="7">
        <v>9216</v>
      </c>
      <c r="K72" s="4" t="s">
        <v>63</v>
      </c>
      <c r="L72" s="4" t="s">
        <v>35</v>
      </c>
    </row>
    <row r="73" spans="1:12" x14ac:dyDescent="0.25">
      <c r="A73" s="4" t="s">
        <v>235</v>
      </c>
      <c r="B73" s="6">
        <v>45677</v>
      </c>
      <c r="C73" s="4" t="s">
        <v>236</v>
      </c>
      <c r="D73" s="4" t="s">
        <v>84</v>
      </c>
      <c r="E73" s="4" t="s">
        <v>49</v>
      </c>
      <c r="F73" s="7">
        <v>6</v>
      </c>
      <c r="G73" s="7">
        <v>0.1</v>
      </c>
      <c r="H73" s="7">
        <v>25920</v>
      </c>
      <c r="I73" s="4">
        <v>19200</v>
      </c>
      <c r="J73" s="7">
        <v>6720</v>
      </c>
      <c r="K73" s="4" t="s">
        <v>44</v>
      </c>
      <c r="L73" s="4" t="s">
        <v>45</v>
      </c>
    </row>
    <row r="74" spans="1:12" x14ac:dyDescent="0.25">
      <c r="A74" s="4" t="s">
        <v>237</v>
      </c>
      <c r="B74" s="6">
        <v>45725</v>
      </c>
      <c r="C74" s="4" t="s">
        <v>191</v>
      </c>
      <c r="D74" s="4" t="s">
        <v>107</v>
      </c>
      <c r="E74" s="4" t="s">
        <v>152</v>
      </c>
      <c r="F74" s="7">
        <v>9</v>
      </c>
      <c r="G74" s="7">
        <v>0.08</v>
      </c>
      <c r="H74" s="7">
        <v>23184</v>
      </c>
      <c r="I74" s="4">
        <v>16200</v>
      </c>
      <c r="J74" s="7">
        <v>6984</v>
      </c>
      <c r="K74" s="4" t="s">
        <v>34</v>
      </c>
      <c r="L74" s="4" t="s">
        <v>35</v>
      </c>
    </row>
    <row r="75" spans="1:12" x14ac:dyDescent="0.25">
      <c r="A75" s="4" t="s">
        <v>238</v>
      </c>
      <c r="B75" s="6">
        <v>45697</v>
      </c>
      <c r="C75" s="4" t="s">
        <v>239</v>
      </c>
      <c r="D75" s="4" t="s">
        <v>112</v>
      </c>
      <c r="E75" s="4" t="s">
        <v>49</v>
      </c>
      <c r="F75" s="7">
        <v>5</v>
      </c>
      <c r="G75" s="7">
        <v>0</v>
      </c>
      <c r="H75" s="7">
        <v>24000</v>
      </c>
      <c r="I75" s="4">
        <v>16000</v>
      </c>
      <c r="J75" s="7">
        <v>8000</v>
      </c>
      <c r="K75" s="4" t="s">
        <v>102</v>
      </c>
      <c r="L75" s="4" t="s">
        <v>122</v>
      </c>
    </row>
    <row r="76" spans="1:12" x14ac:dyDescent="0.25">
      <c r="A76" s="4" t="s">
        <v>240</v>
      </c>
      <c r="B76" s="6">
        <v>45804</v>
      </c>
      <c r="C76" s="4" t="s">
        <v>225</v>
      </c>
      <c r="D76" s="4" t="s">
        <v>241</v>
      </c>
      <c r="E76" s="4" t="s">
        <v>71</v>
      </c>
      <c r="F76" s="7">
        <v>10</v>
      </c>
      <c r="G76" s="7">
        <v>0.05</v>
      </c>
      <c r="H76" s="7">
        <v>68400</v>
      </c>
      <c r="I76" s="4">
        <v>48000</v>
      </c>
      <c r="J76" s="7">
        <v>20400</v>
      </c>
      <c r="K76" s="4" t="s">
        <v>63</v>
      </c>
      <c r="L76" s="4" t="s">
        <v>122</v>
      </c>
    </row>
    <row r="77" spans="1:12" x14ac:dyDescent="0.25">
      <c r="A77" s="4" t="s">
        <v>242</v>
      </c>
      <c r="B77" s="6">
        <v>45675</v>
      </c>
      <c r="C77" s="4" t="s">
        <v>243</v>
      </c>
      <c r="D77" s="4" t="s">
        <v>158</v>
      </c>
      <c r="E77" s="4" t="s">
        <v>71</v>
      </c>
      <c r="F77" s="7">
        <v>6</v>
      </c>
      <c r="G77" s="7">
        <v>0.08</v>
      </c>
      <c r="H77" s="7">
        <v>39744</v>
      </c>
      <c r="I77" s="4">
        <v>28800</v>
      </c>
      <c r="J77" s="7">
        <v>10944</v>
      </c>
      <c r="K77" s="4" t="s">
        <v>44</v>
      </c>
      <c r="L77" s="4" t="s">
        <v>45</v>
      </c>
    </row>
    <row r="78" spans="1:12" x14ac:dyDescent="0.25">
      <c r="A78" s="4" t="s">
        <v>244</v>
      </c>
      <c r="B78" s="6">
        <v>45827</v>
      </c>
      <c r="C78" s="4" t="s">
        <v>170</v>
      </c>
      <c r="D78" s="4" t="s">
        <v>151</v>
      </c>
      <c r="E78" s="4" t="s">
        <v>116</v>
      </c>
      <c r="F78" s="7">
        <v>8</v>
      </c>
      <c r="G78" s="7">
        <v>0</v>
      </c>
      <c r="H78" s="7">
        <v>96000</v>
      </c>
      <c r="I78" s="4">
        <v>68000</v>
      </c>
      <c r="J78" s="7">
        <v>28000</v>
      </c>
      <c r="K78" s="4" t="s">
        <v>63</v>
      </c>
      <c r="L78" s="4" t="s">
        <v>122</v>
      </c>
    </row>
    <row r="79" spans="1:12" x14ac:dyDescent="0.25">
      <c r="A79" s="4" t="s">
        <v>245</v>
      </c>
      <c r="B79" s="6">
        <v>45824</v>
      </c>
      <c r="C79" s="4" t="s">
        <v>246</v>
      </c>
      <c r="D79" s="4" t="s">
        <v>88</v>
      </c>
      <c r="E79" s="4" t="s">
        <v>67</v>
      </c>
      <c r="F79" s="7">
        <v>18</v>
      </c>
      <c r="G79" s="7">
        <v>0.12</v>
      </c>
      <c r="H79" s="7">
        <v>107712</v>
      </c>
      <c r="I79" s="4">
        <v>81000</v>
      </c>
      <c r="J79" s="7">
        <v>26712</v>
      </c>
      <c r="K79" s="4" t="s">
        <v>44</v>
      </c>
      <c r="L79" s="4" t="s">
        <v>122</v>
      </c>
    </row>
    <row r="80" spans="1:12" x14ac:dyDescent="0.25">
      <c r="A80" s="4" t="s">
        <v>247</v>
      </c>
      <c r="B80" s="6">
        <v>45832</v>
      </c>
      <c r="C80" s="4" t="s">
        <v>139</v>
      </c>
      <c r="D80" s="4" t="s">
        <v>101</v>
      </c>
      <c r="E80" s="4" t="s">
        <v>121</v>
      </c>
      <c r="F80" s="7">
        <v>8</v>
      </c>
      <c r="G80" s="7">
        <v>0</v>
      </c>
      <c r="H80" s="7">
        <v>28800</v>
      </c>
      <c r="I80" s="4">
        <v>19200</v>
      </c>
      <c r="J80" s="7">
        <v>9600</v>
      </c>
      <c r="K80" s="4" t="s">
        <v>102</v>
      </c>
      <c r="L80" s="4" t="s">
        <v>35</v>
      </c>
    </row>
    <row r="81" spans="1:12" x14ac:dyDescent="0.25">
      <c r="A81" s="4" t="s">
        <v>248</v>
      </c>
      <c r="B81" s="6">
        <v>45730</v>
      </c>
      <c r="C81" s="4" t="s">
        <v>249</v>
      </c>
      <c r="D81" s="4" t="s">
        <v>241</v>
      </c>
      <c r="E81" s="4" t="s">
        <v>91</v>
      </c>
      <c r="F81" s="7">
        <v>18</v>
      </c>
      <c r="G81" s="7">
        <v>0.1</v>
      </c>
      <c r="H81" s="7">
        <v>55080</v>
      </c>
      <c r="I81" s="4">
        <v>39600</v>
      </c>
      <c r="J81" s="7">
        <v>15480</v>
      </c>
      <c r="K81" s="4" t="s">
        <v>63</v>
      </c>
      <c r="L81" s="4" t="s">
        <v>122</v>
      </c>
    </row>
    <row r="82" spans="1:12" x14ac:dyDescent="0.25">
      <c r="A82" s="4" t="s">
        <v>250</v>
      </c>
      <c r="B82" s="6">
        <v>45669</v>
      </c>
      <c r="C82" s="4" t="s">
        <v>225</v>
      </c>
      <c r="D82" s="4" t="s">
        <v>164</v>
      </c>
      <c r="E82" s="4" t="s">
        <v>53</v>
      </c>
      <c r="F82" s="7">
        <v>15</v>
      </c>
      <c r="G82" s="7">
        <v>0.05</v>
      </c>
      <c r="H82" s="7">
        <v>59850</v>
      </c>
      <c r="I82" s="4">
        <v>42000</v>
      </c>
      <c r="J82" s="7">
        <v>17850</v>
      </c>
      <c r="K82" s="4" t="s">
        <v>44</v>
      </c>
      <c r="L82" s="4" t="s">
        <v>35</v>
      </c>
    </row>
    <row r="83" spans="1:12" x14ac:dyDescent="0.25">
      <c r="A83" s="4" t="s">
        <v>251</v>
      </c>
      <c r="B83" s="6">
        <v>45795</v>
      </c>
      <c r="C83" s="4" t="s">
        <v>114</v>
      </c>
      <c r="D83" s="4" t="s">
        <v>151</v>
      </c>
      <c r="E83" s="4" t="s">
        <v>81</v>
      </c>
      <c r="F83" s="7">
        <v>6</v>
      </c>
      <c r="G83" s="7">
        <v>0.12</v>
      </c>
      <c r="H83" s="7">
        <v>47520</v>
      </c>
      <c r="I83" s="4">
        <v>39000</v>
      </c>
      <c r="J83" s="7">
        <v>8520</v>
      </c>
      <c r="K83" s="4" t="s">
        <v>63</v>
      </c>
      <c r="L83" s="4" t="s">
        <v>35</v>
      </c>
    </row>
    <row r="84" spans="1:12" x14ac:dyDescent="0.25">
      <c r="A84" s="4" t="s">
        <v>252</v>
      </c>
      <c r="B84" s="6">
        <v>45684</v>
      </c>
      <c r="C84" s="4" t="s">
        <v>205</v>
      </c>
      <c r="D84" s="4" t="s">
        <v>125</v>
      </c>
      <c r="E84" s="4" t="s">
        <v>71</v>
      </c>
      <c r="F84" s="7">
        <v>14</v>
      </c>
      <c r="G84" s="7">
        <v>0.12</v>
      </c>
      <c r="H84" s="7">
        <v>88704</v>
      </c>
      <c r="I84" s="4">
        <v>67200</v>
      </c>
      <c r="J84" s="7">
        <v>21504</v>
      </c>
      <c r="K84" s="4" t="s">
        <v>39</v>
      </c>
      <c r="L84" s="4" t="s">
        <v>45</v>
      </c>
    </row>
    <row r="85" spans="1:12" x14ac:dyDescent="0.25">
      <c r="A85" s="4" t="s">
        <v>253</v>
      </c>
      <c r="B85" s="6">
        <v>45833</v>
      </c>
      <c r="C85" s="4" t="s">
        <v>254</v>
      </c>
      <c r="D85" s="4" t="s">
        <v>115</v>
      </c>
      <c r="E85" s="4" t="s">
        <v>152</v>
      </c>
      <c r="F85" s="7">
        <v>3</v>
      </c>
      <c r="G85" s="7">
        <v>0.1</v>
      </c>
      <c r="H85" s="7">
        <v>7560</v>
      </c>
      <c r="I85" s="4">
        <v>5400</v>
      </c>
      <c r="J85" s="7">
        <v>2160</v>
      </c>
      <c r="K85" s="4" t="s">
        <v>44</v>
      </c>
      <c r="L85" s="4" t="s">
        <v>35</v>
      </c>
    </row>
    <row r="86" spans="1:12" x14ac:dyDescent="0.25">
      <c r="A86" s="4" t="s">
        <v>255</v>
      </c>
      <c r="B86" s="6">
        <v>45722</v>
      </c>
      <c r="C86" s="4" t="s">
        <v>233</v>
      </c>
      <c r="D86" s="4" t="s">
        <v>56</v>
      </c>
      <c r="E86" s="4" t="s">
        <v>33</v>
      </c>
      <c r="F86" s="7">
        <v>6</v>
      </c>
      <c r="G86" s="7">
        <v>0.12</v>
      </c>
      <c r="H86" s="7">
        <v>19008</v>
      </c>
      <c r="I86" s="4">
        <v>14400</v>
      </c>
      <c r="J86" s="7">
        <v>4608</v>
      </c>
      <c r="K86" s="4" t="s">
        <v>63</v>
      </c>
      <c r="L86" s="4" t="s">
        <v>35</v>
      </c>
    </row>
    <row r="87" spans="1:12" x14ac:dyDescent="0.25">
      <c r="A87" s="4" t="s">
        <v>256</v>
      </c>
      <c r="B87" s="6">
        <v>45761</v>
      </c>
      <c r="C87" s="4" t="s">
        <v>181</v>
      </c>
      <c r="D87" s="4" t="s">
        <v>257</v>
      </c>
      <c r="E87" s="4" t="s">
        <v>91</v>
      </c>
      <c r="F87" s="7">
        <v>15</v>
      </c>
      <c r="G87" s="7">
        <v>0.1</v>
      </c>
      <c r="H87" s="7">
        <v>45900</v>
      </c>
      <c r="I87" s="4">
        <v>33000</v>
      </c>
      <c r="J87" s="7">
        <v>12900</v>
      </c>
      <c r="K87" s="4" t="s">
        <v>44</v>
      </c>
      <c r="L87" s="4" t="s">
        <v>780</v>
      </c>
    </row>
    <row r="88" spans="1:12" x14ac:dyDescent="0.25">
      <c r="A88" s="4" t="s">
        <v>258</v>
      </c>
      <c r="B88" s="6">
        <v>45807</v>
      </c>
      <c r="C88" s="4" t="s">
        <v>259</v>
      </c>
      <c r="D88" s="4" t="s">
        <v>90</v>
      </c>
      <c r="E88" s="4" t="s">
        <v>85</v>
      </c>
      <c r="F88" s="7">
        <v>3</v>
      </c>
      <c r="G88" s="7">
        <v>0.12</v>
      </c>
      <c r="H88" s="7">
        <v>17160</v>
      </c>
      <c r="I88" s="4">
        <v>12600</v>
      </c>
      <c r="J88" s="7">
        <v>4560</v>
      </c>
      <c r="K88" s="4" t="s">
        <v>63</v>
      </c>
      <c r="L88" s="4" t="s">
        <v>122</v>
      </c>
    </row>
    <row r="89" spans="1:12" x14ac:dyDescent="0.25">
      <c r="A89" s="4" t="s">
        <v>260</v>
      </c>
      <c r="B89" s="6">
        <v>45680</v>
      </c>
      <c r="C89" s="4" t="s">
        <v>261</v>
      </c>
      <c r="D89" s="4" t="s">
        <v>262</v>
      </c>
      <c r="E89" s="4" t="s">
        <v>85</v>
      </c>
      <c r="F89" s="7">
        <v>10</v>
      </c>
      <c r="G89" s="7">
        <v>0.08</v>
      </c>
      <c r="H89" s="7">
        <v>59800</v>
      </c>
      <c r="I89" s="4">
        <v>42000</v>
      </c>
      <c r="J89" s="7">
        <v>17800</v>
      </c>
      <c r="K89" s="4" t="s">
        <v>39</v>
      </c>
      <c r="L89" s="4" t="s">
        <v>35</v>
      </c>
    </row>
    <row r="90" spans="1:12" x14ac:dyDescent="0.25">
      <c r="A90" s="4" t="s">
        <v>263</v>
      </c>
      <c r="B90" s="6">
        <v>45692</v>
      </c>
      <c r="C90" s="4" t="s">
        <v>106</v>
      </c>
      <c r="D90" s="4" t="s">
        <v>148</v>
      </c>
      <c r="E90" s="4" t="s">
        <v>121</v>
      </c>
      <c r="F90" s="7">
        <v>18</v>
      </c>
      <c r="G90" s="7">
        <v>0</v>
      </c>
      <c r="H90" s="7">
        <v>64800</v>
      </c>
      <c r="I90" s="4">
        <v>43200</v>
      </c>
      <c r="J90" s="7">
        <v>21600</v>
      </c>
      <c r="K90" s="4" t="s">
        <v>102</v>
      </c>
      <c r="L90" s="4" t="s">
        <v>35</v>
      </c>
    </row>
    <row r="91" spans="1:12" x14ac:dyDescent="0.25">
      <c r="A91" s="4" t="s">
        <v>264</v>
      </c>
      <c r="B91" s="6">
        <v>45831</v>
      </c>
      <c r="C91" s="4" t="s">
        <v>265</v>
      </c>
      <c r="D91" s="4" t="s">
        <v>112</v>
      </c>
      <c r="E91" s="4" t="s">
        <v>85</v>
      </c>
      <c r="F91" s="7">
        <v>5</v>
      </c>
      <c r="G91" s="7">
        <v>0.03</v>
      </c>
      <c r="H91" s="7">
        <v>31525</v>
      </c>
      <c r="I91" s="4">
        <v>21000</v>
      </c>
      <c r="J91" s="7">
        <v>10525</v>
      </c>
      <c r="K91" s="4" t="s">
        <v>102</v>
      </c>
      <c r="L91" s="4" t="s">
        <v>35</v>
      </c>
    </row>
    <row r="92" spans="1:12" x14ac:dyDescent="0.25">
      <c r="A92" s="4" t="s">
        <v>266</v>
      </c>
      <c r="B92" s="6">
        <v>45800</v>
      </c>
      <c r="C92" s="4" t="s">
        <v>173</v>
      </c>
      <c r="D92" s="4" t="s">
        <v>267</v>
      </c>
      <c r="E92" s="4" t="s">
        <v>152</v>
      </c>
      <c r="F92" s="7">
        <v>1</v>
      </c>
      <c r="G92" s="7">
        <v>0.08</v>
      </c>
      <c r="H92" s="7">
        <v>2576</v>
      </c>
      <c r="I92" s="4">
        <v>1800</v>
      </c>
      <c r="J92" s="7">
        <v>776</v>
      </c>
      <c r="K92" s="4" t="s">
        <v>34</v>
      </c>
      <c r="L92" s="4" t="s">
        <v>45</v>
      </c>
    </row>
    <row r="93" spans="1:12" x14ac:dyDescent="0.25">
      <c r="A93" s="4" t="s">
        <v>268</v>
      </c>
      <c r="B93" s="6">
        <v>45711</v>
      </c>
      <c r="C93" s="4" t="s">
        <v>119</v>
      </c>
      <c r="D93" s="4" t="s">
        <v>174</v>
      </c>
      <c r="E93" s="4" t="s">
        <v>49</v>
      </c>
      <c r="F93" s="7">
        <v>3</v>
      </c>
      <c r="G93" s="7">
        <v>0.03</v>
      </c>
      <c r="H93" s="7">
        <v>13968</v>
      </c>
      <c r="I93" s="4">
        <v>9600</v>
      </c>
      <c r="J93" s="7">
        <v>4368</v>
      </c>
      <c r="K93" s="4" t="s">
        <v>102</v>
      </c>
      <c r="L93" s="4" t="s">
        <v>45</v>
      </c>
    </row>
    <row r="94" spans="1:12" x14ac:dyDescent="0.25">
      <c r="A94" s="4" t="s">
        <v>269</v>
      </c>
      <c r="B94" s="6">
        <v>45699</v>
      </c>
      <c r="C94" s="4" t="s">
        <v>194</v>
      </c>
      <c r="D94" s="4" t="s">
        <v>88</v>
      </c>
      <c r="E94" s="4" t="s">
        <v>195</v>
      </c>
      <c r="F94" s="7">
        <v>17</v>
      </c>
      <c r="G94" s="7">
        <v>0</v>
      </c>
      <c r="H94" s="7">
        <v>18700</v>
      </c>
      <c r="I94" s="4">
        <v>11050</v>
      </c>
      <c r="J94" s="7">
        <v>7650</v>
      </c>
      <c r="K94" s="4" t="s">
        <v>44</v>
      </c>
      <c r="L94" s="4" t="s">
        <v>35</v>
      </c>
    </row>
    <row r="95" spans="1:12" x14ac:dyDescent="0.25">
      <c r="A95" s="4" t="s">
        <v>270</v>
      </c>
      <c r="B95" s="6">
        <v>45798</v>
      </c>
      <c r="C95" s="4" t="s">
        <v>201</v>
      </c>
      <c r="D95" s="4" t="s">
        <v>227</v>
      </c>
      <c r="E95" s="4" t="s">
        <v>81</v>
      </c>
      <c r="F95" s="7">
        <v>2</v>
      </c>
      <c r="G95" s="7">
        <v>0.12</v>
      </c>
      <c r="H95" s="7">
        <v>15840</v>
      </c>
      <c r="I95" s="4">
        <v>13000</v>
      </c>
      <c r="J95" s="7">
        <v>2840</v>
      </c>
      <c r="K95" s="4" t="s">
        <v>44</v>
      </c>
      <c r="L95" s="4" t="s">
        <v>35</v>
      </c>
    </row>
    <row r="96" spans="1:12" x14ac:dyDescent="0.25">
      <c r="A96" s="4" t="s">
        <v>271</v>
      </c>
      <c r="B96" s="6">
        <v>45806</v>
      </c>
      <c r="C96" s="4" t="s">
        <v>201</v>
      </c>
      <c r="D96" s="4" t="s">
        <v>272</v>
      </c>
      <c r="E96" s="4" t="s">
        <v>95</v>
      </c>
      <c r="F96" s="7">
        <v>7</v>
      </c>
      <c r="G96" s="7">
        <v>0.1</v>
      </c>
      <c r="H96" s="7">
        <v>327600</v>
      </c>
      <c r="I96" s="4">
        <v>294000</v>
      </c>
      <c r="J96" s="7">
        <v>33600</v>
      </c>
      <c r="K96" s="4" t="s">
        <v>44</v>
      </c>
      <c r="L96" s="4" t="s">
        <v>35</v>
      </c>
    </row>
    <row r="97" spans="1:12" x14ac:dyDescent="0.25">
      <c r="A97" s="4" t="s">
        <v>273</v>
      </c>
      <c r="B97" s="6">
        <v>45739</v>
      </c>
      <c r="C97" s="4" t="s">
        <v>274</v>
      </c>
      <c r="D97" s="4" t="s">
        <v>234</v>
      </c>
      <c r="E97" s="4" t="s">
        <v>78</v>
      </c>
      <c r="F97" s="7">
        <v>3</v>
      </c>
      <c r="G97" s="7">
        <v>0</v>
      </c>
      <c r="H97" s="7">
        <v>27000</v>
      </c>
      <c r="I97" s="4">
        <v>19500</v>
      </c>
      <c r="J97" s="7">
        <v>7500</v>
      </c>
      <c r="K97" s="4" t="s">
        <v>63</v>
      </c>
      <c r="L97" s="4" t="s">
        <v>122</v>
      </c>
    </row>
    <row r="98" spans="1:12" x14ac:dyDescent="0.25">
      <c r="A98" s="4" t="s">
        <v>275</v>
      </c>
      <c r="B98" s="6">
        <v>45738</v>
      </c>
      <c r="C98" s="4" t="s">
        <v>276</v>
      </c>
      <c r="D98" s="4" t="s">
        <v>115</v>
      </c>
      <c r="E98" s="4" t="s">
        <v>81</v>
      </c>
      <c r="F98" s="7">
        <v>12</v>
      </c>
      <c r="G98" s="7">
        <v>0.12</v>
      </c>
      <c r="H98" s="7">
        <v>95040</v>
      </c>
      <c r="I98" s="4">
        <v>78000</v>
      </c>
      <c r="J98" s="7">
        <v>17040</v>
      </c>
      <c r="K98" s="4" t="s">
        <v>44</v>
      </c>
      <c r="L98" s="4" t="s">
        <v>35</v>
      </c>
    </row>
    <row r="99" spans="1:12" x14ac:dyDescent="0.25">
      <c r="A99" s="4" t="s">
        <v>277</v>
      </c>
      <c r="B99" s="6">
        <v>45750</v>
      </c>
      <c r="C99" s="4" t="s">
        <v>278</v>
      </c>
      <c r="D99" s="4" t="s">
        <v>88</v>
      </c>
      <c r="E99" s="4" t="s">
        <v>95</v>
      </c>
      <c r="F99" s="7">
        <v>14</v>
      </c>
      <c r="G99" s="7">
        <v>0.03</v>
      </c>
      <c r="H99" s="7">
        <v>706160</v>
      </c>
      <c r="I99" s="4">
        <v>588000</v>
      </c>
      <c r="J99" s="7">
        <v>118160</v>
      </c>
      <c r="K99" s="4" t="s">
        <v>44</v>
      </c>
      <c r="L99" s="4" t="s">
        <v>45</v>
      </c>
    </row>
    <row r="100" spans="1:12" x14ac:dyDescent="0.25">
      <c r="A100" s="4" t="s">
        <v>279</v>
      </c>
      <c r="B100" s="6">
        <v>45799</v>
      </c>
      <c r="C100" s="4" t="s">
        <v>184</v>
      </c>
      <c r="D100" s="4" t="s">
        <v>234</v>
      </c>
      <c r="E100" s="4" t="s">
        <v>49</v>
      </c>
      <c r="F100" s="7">
        <v>10</v>
      </c>
      <c r="G100" s="7">
        <v>0.05</v>
      </c>
      <c r="H100" s="7">
        <v>45600</v>
      </c>
      <c r="I100" s="4">
        <v>32000</v>
      </c>
      <c r="J100" s="7">
        <v>13600</v>
      </c>
      <c r="K100" s="4" t="s">
        <v>63</v>
      </c>
      <c r="L100" s="4" t="s">
        <v>35</v>
      </c>
    </row>
    <row r="101" spans="1:12" x14ac:dyDescent="0.25">
      <c r="A101" s="4" t="s">
        <v>280</v>
      </c>
      <c r="B101" s="6">
        <v>45708</v>
      </c>
      <c r="C101" s="4" t="s">
        <v>281</v>
      </c>
      <c r="D101" s="4" t="s">
        <v>136</v>
      </c>
      <c r="E101" s="4" t="s">
        <v>71</v>
      </c>
      <c r="F101" s="7">
        <v>5</v>
      </c>
      <c r="G101" s="7">
        <v>0.08</v>
      </c>
      <c r="H101" s="7">
        <v>33120</v>
      </c>
      <c r="I101" s="4">
        <v>24000</v>
      </c>
      <c r="J101" s="7">
        <v>9120</v>
      </c>
      <c r="K101" s="4" t="s">
        <v>137</v>
      </c>
      <c r="L101" s="4" t="s">
        <v>35</v>
      </c>
    </row>
    <row r="102" spans="1:12" x14ac:dyDescent="0.25">
      <c r="A102" s="4" t="s">
        <v>282</v>
      </c>
      <c r="B102" s="6">
        <v>45665</v>
      </c>
      <c r="C102" s="4" t="s">
        <v>132</v>
      </c>
      <c r="D102" s="4" t="s">
        <v>151</v>
      </c>
      <c r="E102" s="4" t="s">
        <v>78</v>
      </c>
      <c r="F102" s="7">
        <v>17</v>
      </c>
      <c r="G102" s="7">
        <v>0.1</v>
      </c>
      <c r="H102" s="7">
        <v>137700</v>
      </c>
      <c r="I102" s="4">
        <v>110500</v>
      </c>
      <c r="J102" s="7">
        <v>27200</v>
      </c>
      <c r="K102" s="4" t="s">
        <v>63</v>
      </c>
      <c r="L102" s="4" t="s">
        <v>35</v>
      </c>
    </row>
    <row r="103" spans="1:12" x14ac:dyDescent="0.25">
      <c r="A103" s="4" t="s">
        <v>283</v>
      </c>
      <c r="B103" s="6">
        <v>45797</v>
      </c>
      <c r="C103" s="4" t="s">
        <v>147</v>
      </c>
      <c r="D103" s="4" t="s">
        <v>262</v>
      </c>
      <c r="E103" s="4" t="s">
        <v>116</v>
      </c>
      <c r="F103" s="7">
        <v>18</v>
      </c>
      <c r="G103" s="7">
        <v>0.03</v>
      </c>
      <c r="H103" s="7">
        <v>209520</v>
      </c>
      <c r="I103" s="4">
        <v>153000</v>
      </c>
      <c r="J103" s="7">
        <v>56520</v>
      </c>
      <c r="K103" s="4" t="s">
        <v>39</v>
      </c>
      <c r="L103" s="4" t="s">
        <v>35</v>
      </c>
    </row>
    <row r="104" spans="1:12" x14ac:dyDescent="0.25">
      <c r="A104" s="4" t="s">
        <v>284</v>
      </c>
      <c r="B104" s="6">
        <v>45808</v>
      </c>
      <c r="C104" s="4" t="s">
        <v>47</v>
      </c>
      <c r="D104" s="4" t="s">
        <v>136</v>
      </c>
      <c r="E104" s="4" t="s">
        <v>95</v>
      </c>
      <c r="F104" s="7">
        <v>8</v>
      </c>
      <c r="G104" s="7">
        <v>0.12</v>
      </c>
      <c r="H104" s="7">
        <v>366080</v>
      </c>
      <c r="I104" s="4">
        <v>336000</v>
      </c>
      <c r="J104" s="7">
        <v>30080</v>
      </c>
      <c r="K104" s="4" t="s">
        <v>34</v>
      </c>
      <c r="L104" s="4" t="s">
        <v>122</v>
      </c>
    </row>
    <row r="105" spans="1:12" x14ac:dyDescent="0.25">
      <c r="A105" s="4" t="s">
        <v>285</v>
      </c>
      <c r="B105" s="6">
        <v>45660</v>
      </c>
      <c r="C105" s="4" t="s">
        <v>168</v>
      </c>
      <c r="D105" s="4" t="s">
        <v>142</v>
      </c>
      <c r="E105" s="4" t="s">
        <v>99</v>
      </c>
      <c r="F105" s="7">
        <v>12</v>
      </c>
      <c r="G105" s="7">
        <v>0.08</v>
      </c>
      <c r="H105" s="7">
        <v>419520</v>
      </c>
      <c r="I105" s="4">
        <v>360000</v>
      </c>
      <c r="J105" s="7">
        <v>59520</v>
      </c>
      <c r="K105" s="4" t="s">
        <v>102</v>
      </c>
      <c r="L105" s="4" t="s">
        <v>122</v>
      </c>
    </row>
    <row r="106" spans="1:12" x14ac:dyDescent="0.25">
      <c r="A106" s="4" t="s">
        <v>286</v>
      </c>
      <c r="B106" s="6">
        <v>45772</v>
      </c>
      <c r="C106" s="4" t="s">
        <v>287</v>
      </c>
      <c r="D106" s="4" t="s">
        <v>209</v>
      </c>
      <c r="E106" s="4" t="s">
        <v>121</v>
      </c>
      <c r="F106" s="7">
        <v>17</v>
      </c>
      <c r="G106" s="7">
        <v>0</v>
      </c>
      <c r="H106" s="7">
        <v>61200</v>
      </c>
      <c r="I106" s="4">
        <v>40800</v>
      </c>
      <c r="J106" s="7">
        <v>20400</v>
      </c>
      <c r="K106" s="4" t="s">
        <v>102</v>
      </c>
      <c r="L106" s="4" t="s">
        <v>35</v>
      </c>
    </row>
    <row r="107" spans="1:12" x14ac:dyDescent="0.25">
      <c r="A107" s="4" t="s">
        <v>288</v>
      </c>
      <c r="B107" s="6">
        <v>45668</v>
      </c>
      <c r="C107" s="4" t="s">
        <v>139</v>
      </c>
      <c r="D107" s="4" t="s">
        <v>42</v>
      </c>
      <c r="E107" s="4" t="s">
        <v>43</v>
      </c>
      <c r="F107" s="7">
        <v>16</v>
      </c>
      <c r="G107" s="7">
        <v>0.03</v>
      </c>
      <c r="H107" s="7">
        <v>29488</v>
      </c>
      <c r="I107" s="4">
        <v>19200</v>
      </c>
      <c r="J107" s="7">
        <v>10288</v>
      </c>
      <c r="K107" s="4" t="s">
        <v>117</v>
      </c>
      <c r="L107" s="4" t="s">
        <v>35</v>
      </c>
    </row>
    <row r="108" spans="1:12" x14ac:dyDescent="0.25">
      <c r="A108" s="4" t="s">
        <v>289</v>
      </c>
      <c r="B108" s="6">
        <v>45750</v>
      </c>
      <c r="C108" s="4" t="s">
        <v>290</v>
      </c>
      <c r="D108" s="4" t="s">
        <v>84</v>
      </c>
      <c r="E108" s="4" t="s">
        <v>121</v>
      </c>
      <c r="F108" s="7">
        <v>7</v>
      </c>
      <c r="G108" s="7">
        <v>0.08</v>
      </c>
      <c r="H108" s="7">
        <v>23184</v>
      </c>
      <c r="I108" s="4">
        <v>16800</v>
      </c>
      <c r="J108" s="7">
        <v>6384</v>
      </c>
      <c r="K108" s="4" t="s">
        <v>44</v>
      </c>
      <c r="L108" s="4" t="s">
        <v>35</v>
      </c>
    </row>
    <row r="109" spans="1:12" x14ac:dyDescent="0.25">
      <c r="A109" s="4" t="s">
        <v>291</v>
      </c>
      <c r="B109" s="6">
        <v>45838</v>
      </c>
      <c r="C109" s="4" t="s">
        <v>160</v>
      </c>
      <c r="D109" s="4" t="s">
        <v>219</v>
      </c>
      <c r="E109" s="4" t="s">
        <v>116</v>
      </c>
      <c r="F109" s="7">
        <v>11</v>
      </c>
      <c r="G109" s="7">
        <v>0</v>
      </c>
      <c r="H109" s="7">
        <v>132000</v>
      </c>
      <c r="I109" s="4">
        <v>93500</v>
      </c>
      <c r="J109" s="7">
        <v>38500</v>
      </c>
      <c r="K109" s="4" t="s">
        <v>63</v>
      </c>
      <c r="L109" s="4" t="s">
        <v>35</v>
      </c>
    </row>
    <row r="110" spans="1:12" x14ac:dyDescent="0.25">
      <c r="A110" s="4" t="s">
        <v>292</v>
      </c>
      <c r="B110" s="6">
        <v>45825</v>
      </c>
      <c r="C110" s="4" t="s">
        <v>177</v>
      </c>
      <c r="D110" s="4" t="s">
        <v>56</v>
      </c>
      <c r="E110" s="4" t="s">
        <v>95</v>
      </c>
      <c r="F110" s="7">
        <v>6</v>
      </c>
      <c r="G110" s="7">
        <v>0.05</v>
      </c>
      <c r="H110" s="7">
        <v>296400</v>
      </c>
      <c r="I110" s="4">
        <v>252000</v>
      </c>
      <c r="J110" s="7">
        <v>44400</v>
      </c>
      <c r="K110" s="4" t="s">
        <v>63</v>
      </c>
      <c r="L110" s="4" t="s">
        <v>35</v>
      </c>
    </row>
    <row r="111" spans="1:12" x14ac:dyDescent="0.25">
      <c r="A111" s="4" t="s">
        <v>293</v>
      </c>
      <c r="B111" s="6">
        <v>45790</v>
      </c>
      <c r="C111" s="4" t="s">
        <v>239</v>
      </c>
      <c r="D111" s="4" t="s">
        <v>48</v>
      </c>
      <c r="E111" s="4" t="s">
        <v>195</v>
      </c>
      <c r="F111" s="7">
        <v>13</v>
      </c>
      <c r="G111" s="7">
        <v>0</v>
      </c>
      <c r="H111" s="7">
        <v>14300</v>
      </c>
      <c r="I111" s="4">
        <v>8450</v>
      </c>
      <c r="J111" s="7">
        <v>5850</v>
      </c>
      <c r="K111" s="4" t="s">
        <v>294</v>
      </c>
      <c r="L111" s="4" t="s">
        <v>45</v>
      </c>
    </row>
    <row r="112" spans="1:12" x14ac:dyDescent="0.25">
      <c r="A112" s="4" t="s">
        <v>295</v>
      </c>
      <c r="B112" s="6">
        <v>45693</v>
      </c>
      <c r="C112" s="4" t="s">
        <v>119</v>
      </c>
      <c r="D112" s="4" t="s">
        <v>241</v>
      </c>
      <c r="E112" s="4" t="s">
        <v>71</v>
      </c>
      <c r="F112" s="7">
        <v>1</v>
      </c>
      <c r="G112" s="7">
        <v>0.08</v>
      </c>
      <c r="H112" s="7">
        <v>6624</v>
      </c>
      <c r="I112" s="4">
        <v>4800</v>
      </c>
      <c r="J112" s="7">
        <v>1824</v>
      </c>
      <c r="K112" s="4" t="s">
        <v>63</v>
      </c>
      <c r="L112" s="4" t="s">
        <v>35</v>
      </c>
    </row>
    <row r="113" spans="1:12" x14ac:dyDescent="0.25">
      <c r="A113" s="4" t="s">
        <v>296</v>
      </c>
      <c r="B113" s="6">
        <v>45750</v>
      </c>
      <c r="C113" s="4" t="s">
        <v>65</v>
      </c>
      <c r="D113" s="4" t="s">
        <v>94</v>
      </c>
      <c r="E113" s="4" t="s">
        <v>162</v>
      </c>
      <c r="F113" s="7">
        <v>6</v>
      </c>
      <c r="G113" s="7">
        <v>0</v>
      </c>
      <c r="H113" s="7">
        <v>96000</v>
      </c>
      <c r="I113" s="4">
        <v>69000</v>
      </c>
      <c r="J113" s="7">
        <v>27000</v>
      </c>
      <c r="K113" s="4" t="s">
        <v>63</v>
      </c>
      <c r="L113" s="4" t="s">
        <v>45</v>
      </c>
    </row>
    <row r="114" spans="1:12" x14ac:dyDescent="0.25">
      <c r="A114" s="4" t="s">
        <v>297</v>
      </c>
      <c r="B114" s="6">
        <v>45830</v>
      </c>
      <c r="C114" s="4" t="s">
        <v>160</v>
      </c>
      <c r="D114" s="4" t="s">
        <v>166</v>
      </c>
      <c r="E114" s="4" t="s">
        <v>67</v>
      </c>
      <c r="F114" s="7">
        <v>4</v>
      </c>
      <c r="G114" s="7">
        <v>0.05</v>
      </c>
      <c r="H114" s="7">
        <v>25840</v>
      </c>
      <c r="I114" s="4">
        <v>18000</v>
      </c>
      <c r="J114" s="7">
        <v>7840</v>
      </c>
      <c r="K114" s="4" t="s">
        <v>34</v>
      </c>
      <c r="L114" s="4" t="s">
        <v>780</v>
      </c>
    </row>
    <row r="115" spans="1:12" x14ac:dyDescent="0.25">
      <c r="A115" s="4" t="s">
        <v>298</v>
      </c>
      <c r="B115" s="6">
        <v>45804</v>
      </c>
      <c r="C115" s="4" t="s">
        <v>299</v>
      </c>
      <c r="D115" s="4" t="s">
        <v>166</v>
      </c>
      <c r="E115" s="4" t="s">
        <v>145</v>
      </c>
      <c r="F115" s="7">
        <v>2</v>
      </c>
      <c r="G115" s="7">
        <v>0</v>
      </c>
      <c r="H115" s="7">
        <v>5000</v>
      </c>
      <c r="I115" s="4">
        <v>3200</v>
      </c>
      <c r="J115" s="7">
        <v>1800</v>
      </c>
      <c r="K115" s="4" t="s">
        <v>34</v>
      </c>
      <c r="L115" s="4" t="s">
        <v>122</v>
      </c>
    </row>
    <row r="116" spans="1:12" x14ac:dyDescent="0.25">
      <c r="A116" s="4" t="s">
        <v>300</v>
      </c>
      <c r="B116" s="6">
        <v>45704</v>
      </c>
      <c r="C116" s="4" t="s">
        <v>177</v>
      </c>
      <c r="D116" s="4" t="s">
        <v>144</v>
      </c>
      <c r="E116" s="4" t="s">
        <v>78</v>
      </c>
      <c r="F116" s="7">
        <v>6</v>
      </c>
      <c r="G116" s="7">
        <v>0.03</v>
      </c>
      <c r="H116" s="7">
        <v>52380</v>
      </c>
      <c r="I116" s="4">
        <v>39000</v>
      </c>
      <c r="J116" s="7">
        <v>13380</v>
      </c>
      <c r="K116" s="4" t="s">
        <v>63</v>
      </c>
      <c r="L116" s="4" t="s">
        <v>35</v>
      </c>
    </row>
    <row r="117" spans="1:12" x14ac:dyDescent="0.25">
      <c r="A117" s="4" t="s">
        <v>301</v>
      </c>
      <c r="B117" s="6">
        <v>45713</v>
      </c>
      <c r="C117" s="4" t="s">
        <v>278</v>
      </c>
      <c r="D117" s="4" t="s">
        <v>38</v>
      </c>
      <c r="E117" s="4" t="s">
        <v>81</v>
      </c>
      <c r="F117" s="7">
        <v>10</v>
      </c>
      <c r="G117" s="7">
        <v>0</v>
      </c>
      <c r="H117" s="7">
        <v>90000</v>
      </c>
      <c r="I117" s="4">
        <v>65000</v>
      </c>
      <c r="J117" s="7">
        <v>25000</v>
      </c>
      <c r="K117" s="4" t="s">
        <v>39</v>
      </c>
      <c r="L117" s="4" t="s">
        <v>35</v>
      </c>
    </row>
    <row r="118" spans="1:12" x14ac:dyDescent="0.25">
      <c r="A118" s="4" t="s">
        <v>302</v>
      </c>
      <c r="B118" s="6">
        <v>45694</v>
      </c>
      <c r="C118" s="4" t="s">
        <v>205</v>
      </c>
      <c r="D118" s="4" t="s">
        <v>262</v>
      </c>
      <c r="E118" s="4" t="s">
        <v>121</v>
      </c>
      <c r="F118" s="7">
        <v>14</v>
      </c>
      <c r="G118" s="7">
        <v>0.08</v>
      </c>
      <c r="H118" s="7">
        <v>46368</v>
      </c>
      <c r="I118" s="4">
        <v>33600</v>
      </c>
      <c r="J118" s="7">
        <v>12768</v>
      </c>
      <c r="K118" s="4" t="s">
        <v>39</v>
      </c>
      <c r="L118" s="4" t="s">
        <v>122</v>
      </c>
    </row>
    <row r="119" spans="1:12" x14ac:dyDescent="0.25">
      <c r="A119" s="4" t="s">
        <v>303</v>
      </c>
      <c r="B119" s="6">
        <v>45810</v>
      </c>
      <c r="C119" s="4" t="s">
        <v>290</v>
      </c>
      <c r="D119" s="4" t="s">
        <v>185</v>
      </c>
      <c r="E119" s="4" t="s">
        <v>195</v>
      </c>
      <c r="F119" s="7">
        <v>11</v>
      </c>
      <c r="G119" s="7">
        <v>0.05</v>
      </c>
      <c r="H119" s="7">
        <v>11495</v>
      </c>
      <c r="I119" s="4">
        <v>7150</v>
      </c>
      <c r="J119" s="7">
        <v>4345</v>
      </c>
      <c r="K119" s="4" t="s">
        <v>102</v>
      </c>
      <c r="L119" s="4" t="s">
        <v>780</v>
      </c>
    </row>
    <row r="120" spans="1:12" x14ac:dyDescent="0.25">
      <c r="A120" s="4" t="s">
        <v>304</v>
      </c>
      <c r="B120" s="6">
        <v>45787</v>
      </c>
      <c r="C120" s="4" t="s">
        <v>230</v>
      </c>
      <c r="D120" s="4" t="s">
        <v>305</v>
      </c>
      <c r="E120" s="4" t="s">
        <v>95</v>
      </c>
      <c r="F120" s="7">
        <v>17</v>
      </c>
      <c r="G120" s="7">
        <v>0.12</v>
      </c>
      <c r="H120" s="7">
        <v>777920</v>
      </c>
      <c r="I120" s="4">
        <v>714000</v>
      </c>
      <c r="J120" s="7">
        <v>63920</v>
      </c>
      <c r="K120" s="4" t="s">
        <v>34</v>
      </c>
      <c r="L120" s="4" t="s">
        <v>35</v>
      </c>
    </row>
    <row r="121" spans="1:12" x14ac:dyDescent="0.25">
      <c r="A121" s="4" t="s">
        <v>306</v>
      </c>
      <c r="B121" s="6">
        <v>45794</v>
      </c>
      <c r="C121" s="4" t="s">
        <v>307</v>
      </c>
      <c r="D121" s="4" t="s">
        <v>52</v>
      </c>
      <c r="E121" s="4" t="s">
        <v>116</v>
      </c>
      <c r="F121" s="7">
        <v>2</v>
      </c>
      <c r="G121" s="7">
        <v>0.12</v>
      </c>
      <c r="H121" s="7">
        <v>21120</v>
      </c>
      <c r="I121" s="4">
        <v>17000</v>
      </c>
      <c r="J121" s="7">
        <v>4120</v>
      </c>
      <c r="K121" s="4" t="s">
        <v>39</v>
      </c>
      <c r="L121" s="4" t="s">
        <v>35</v>
      </c>
    </row>
    <row r="122" spans="1:12" x14ac:dyDescent="0.25">
      <c r="A122" s="4" t="s">
        <v>308</v>
      </c>
      <c r="B122" s="6">
        <v>45658</v>
      </c>
      <c r="C122" s="4" t="s">
        <v>147</v>
      </c>
      <c r="D122" s="4" t="s">
        <v>98</v>
      </c>
      <c r="E122" s="4" t="s">
        <v>91</v>
      </c>
      <c r="F122" s="7">
        <v>18</v>
      </c>
      <c r="G122" s="7">
        <v>0.12</v>
      </c>
      <c r="H122" s="7">
        <v>53856</v>
      </c>
      <c r="I122" s="4">
        <v>39600</v>
      </c>
      <c r="J122" s="7">
        <v>14256</v>
      </c>
      <c r="K122" s="4" t="s">
        <v>39</v>
      </c>
      <c r="L122" s="4" t="s">
        <v>122</v>
      </c>
    </row>
    <row r="123" spans="1:12" x14ac:dyDescent="0.25">
      <c r="A123" s="4" t="s">
        <v>309</v>
      </c>
      <c r="B123" s="6">
        <v>45793</v>
      </c>
      <c r="C123" s="4" t="s">
        <v>141</v>
      </c>
      <c r="D123" s="4" t="s">
        <v>219</v>
      </c>
      <c r="E123" s="4" t="s">
        <v>121</v>
      </c>
      <c r="F123" s="7">
        <v>2</v>
      </c>
      <c r="G123" s="7">
        <v>0.1</v>
      </c>
      <c r="H123" s="7">
        <v>6480</v>
      </c>
      <c r="I123" s="4">
        <v>4800</v>
      </c>
      <c r="J123" s="7">
        <v>1680</v>
      </c>
      <c r="K123" s="4" t="s">
        <v>63</v>
      </c>
      <c r="L123" s="4" t="s">
        <v>45</v>
      </c>
    </row>
    <row r="124" spans="1:12" x14ac:dyDescent="0.25">
      <c r="A124" s="4" t="s">
        <v>310</v>
      </c>
      <c r="B124" s="6">
        <v>45692</v>
      </c>
      <c r="C124" s="4" t="s">
        <v>139</v>
      </c>
      <c r="D124" s="4" t="s">
        <v>209</v>
      </c>
      <c r="E124" s="4" t="s">
        <v>95</v>
      </c>
      <c r="F124" s="7">
        <v>4</v>
      </c>
      <c r="G124" s="7">
        <v>0.05</v>
      </c>
      <c r="H124" s="7">
        <v>197600</v>
      </c>
      <c r="I124" s="4">
        <v>168000</v>
      </c>
      <c r="J124" s="7">
        <v>29600</v>
      </c>
      <c r="K124" s="4" t="s">
        <v>102</v>
      </c>
      <c r="L124" s="4" t="s">
        <v>35</v>
      </c>
    </row>
    <row r="125" spans="1:12" x14ac:dyDescent="0.25">
      <c r="A125" s="4" t="s">
        <v>311</v>
      </c>
      <c r="B125" s="6">
        <v>45723</v>
      </c>
      <c r="C125" s="4" t="s">
        <v>312</v>
      </c>
      <c r="D125" s="4" t="s">
        <v>219</v>
      </c>
      <c r="E125" s="4" t="s">
        <v>99</v>
      </c>
      <c r="F125" s="7">
        <v>18</v>
      </c>
      <c r="G125" s="7">
        <v>0.05</v>
      </c>
      <c r="H125" s="7">
        <v>649800</v>
      </c>
      <c r="I125" s="4">
        <v>540000</v>
      </c>
      <c r="J125" s="7">
        <v>109800</v>
      </c>
      <c r="K125" s="4" t="s">
        <v>63</v>
      </c>
      <c r="L125" s="4" t="s">
        <v>122</v>
      </c>
    </row>
    <row r="126" spans="1:12" x14ac:dyDescent="0.25">
      <c r="A126" s="4" t="s">
        <v>313</v>
      </c>
      <c r="B126" s="6">
        <v>45754</v>
      </c>
      <c r="C126" s="4" t="s">
        <v>281</v>
      </c>
      <c r="D126" s="4" t="s">
        <v>314</v>
      </c>
      <c r="E126" s="4" t="s">
        <v>49</v>
      </c>
      <c r="F126" s="7">
        <v>17</v>
      </c>
      <c r="G126" s="7">
        <v>0</v>
      </c>
      <c r="H126" s="7">
        <v>81600</v>
      </c>
      <c r="I126" s="4">
        <v>54400</v>
      </c>
      <c r="J126" s="7">
        <v>27200</v>
      </c>
      <c r="K126" s="4" t="s">
        <v>102</v>
      </c>
      <c r="L126" s="4" t="s">
        <v>35</v>
      </c>
    </row>
    <row r="127" spans="1:12" x14ac:dyDescent="0.25">
      <c r="A127" s="4" t="s">
        <v>315</v>
      </c>
      <c r="B127" s="6">
        <v>45807</v>
      </c>
      <c r="C127" s="4" t="s">
        <v>111</v>
      </c>
      <c r="D127" s="4" t="s">
        <v>227</v>
      </c>
      <c r="E127" s="4" t="s">
        <v>145</v>
      </c>
      <c r="F127" s="7">
        <v>14</v>
      </c>
      <c r="G127" s="7">
        <v>0.1</v>
      </c>
      <c r="H127" s="7">
        <v>31500</v>
      </c>
      <c r="I127" s="4">
        <v>22400</v>
      </c>
      <c r="J127" s="7">
        <v>9100</v>
      </c>
      <c r="K127" s="4" t="s">
        <v>44</v>
      </c>
      <c r="L127" s="4" t="s">
        <v>35</v>
      </c>
    </row>
    <row r="128" spans="1:12" x14ac:dyDescent="0.25">
      <c r="A128" s="4" t="s">
        <v>316</v>
      </c>
      <c r="B128" s="6">
        <v>45710</v>
      </c>
      <c r="C128" s="4" t="s">
        <v>160</v>
      </c>
      <c r="D128" s="4" t="s">
        <v>77</v>
      </c>
      <c r="E128" s="4" t="s">
        <v>152</v>
      </c>
      <c r="F128" s="7">
        <v>13</v>
      </c>
      <c r="G128" s="7">
        <v>0.12</v>
      </c>
      <c r="H128" s="7">
        <v>32032</v>
      </c>
      <c r="I128" s="4">
        <v>23400</v>
      </c>
      <c r="J128" s="7">
        <v>8632</v>
      </c>
      <c r="K128" s="4" t="s">
        <v>63</v>
      </c>
      <c r="L128" s="4" t="s">
        <v>35</v>
      </c>
    </row>
    <row r="129" spans="1:12" x14ac:dyDescent="0.25">
      <c r="A129" s="4" t="s">
        <v>317</v>
      </c>
      <c r="B129" s="6">
        <v>45736</v>
      </c>
      <c r="C129" s="4" t="s">
        <v>173</v>
      </c>
      <c r="D129" s="4" t="s">
        <v>120</v>
      </c>
      <c r="E129" s="4" t="s">
        <v>195</v>
      </c>
      <c r="F129" s="7">
        <v>16</v>
      </c>
      <c r="G129" s="7">
        <v>0.03</v>
      </c>
      <c r="H129" s="7">
        <v>17072</v>
      </c>
      <c r="I129" s="4">
        <v>10400</v>
      </c>
      <c r="J129" s="7">
        <v>6672</v>
      </c>
      <c r="K129" s="4" t="s">
        <v>44</v>
      </c>
      <c r="L129" s="4" t="s">
        <v>35</v>
      </c>
    </row>
    <row r="130" spans="1:12" x14ac:dyDescent="0.25">
      <c r="A130" s="4" t="s">
        <v>318</v>
      </c>
      <c r="B130" s="6">
        <v>45716</v>
      </c>
      <c r="C130" s="4" t="s">
        <v>221</v>
      </c>
      <c r="D130" s="4" t="s">
        <v>144</v>
      </c>
      <c r="E130" s="4" t="s">
        <v>162</v>
      </c>
      <c r="F130" s="7">
        <v>4</v>
      </c>
      <c r="G130" s="7">
        <v>0.1</v>
      </c>
      <c r="H130" s="7">
        <v>57600</v>
      </c>
      <c r="I130" s="4">
        <v>46000</v>
      </c>
      <c r="J130" s="7">
        <v>11600</v>
      </c>
      <c r="K130" s="4" t="s">
        <v>63</v>
      </c>
      <c r="L130" s="4" t="s">
        <v>35</v>
      </c>
    </row>
    <row r="131" spans="1:12" x14ac:dyDescent="0.25">
      <c r="A131" s="4" t="s">
        <v>319</v>
      </c>
      <c r="B131" s="6">
        <v>45798</v>
      </c>
      <c r="C131" s="4" t="s">
        <v>276</v>
      </c>
      <c r="D131" s="4" t="s">
        <v>231</v>
      </c>
      <c r="E131" s="4" t="s">
        <v>62</v>
      </c>
      <c r="F131" s="7">
        <v>11</v>
      </c>
      <c r="G131" s="7">
        <v>0.12</v>
      </c>
      <c r="H131" s="7">
        <v>101640</v>
      </c>
      <c r="I131" s="4">
        <v>82500</v>
      </c>
      <c r="J131" s="7">
        <v>19140</v>
      </c>
      <c r="K131" s="4" t="s">
        <v>117</v>
      </c>
      <c r="L131" s="4" t="s">
        <v>45</v>
      </c>
    </row>
    <row r="132" spans="1:12" x14ac:dyDescent="0.25">
      <c r="A132" s="4" t="s">
        <v>320</v>
      </c>
      <c r="B132" s="6">
        <v>45681</v>
      </c>
      <c r="C132" s="4" t="s">
        <v>31</v>
      </c>
      <c r="D132" s="4" t="s">
        <v>52</v>
      </c>
      <c r="E132" s="4" t="s">
        <v>53</v>
      </c>
      <c r="F132" s="7">
        <v>1</v>
      </c>
      <c r="G132" s="7">
        <v>0.12</v>
      </c>
      <c r="H132" s="7">
        <v>3696</v>
      </c>
      <c r="I132" s="4">
        <v>2800</v>
      </c>
      <c r="J132" s="7">
        <v>896</v>
      </c>
      <c r="K132" s="4" t="s">
        <v>39</v>
      </c>
      <c r="L132" s="4" t="s">
        <v>35</v>
      </c>
    </row>
    <row r="133" spans="1:12" x14ac:dyDescent="0.25">
      <c r="A133" s="4" t="s">
        <v>321</v>
      </c>
      <c r="B133" s="6">
        <v>45678</v>
      </c>
      <c r="C133" s="4" t="s">
        <v>322</v>
      </c>
      <c r="D133" s="4" t="s">
        <v>231</v>
      </c>
      <c r="E133" s="4" t="s">
        <v>195</v>
      </c>
      <c r="F133" s="7">
        <v>8</v>
      </c>
      <c r="G133" s="7">
        <v>0.03</v>
      </c>
      <c r="H133" s="7">
        <v>8536</v>
      </c>
      <c r="I133" s="4">
        <v>5200</v>
      </c>
      <c r="J133" s="7">
        <v>3336</v>
      </c>
      <c r="K133" s="4" t="s">
        <v>44</v>
      </c>
      <c r="L133" s="4" t="s">
        <v>45</v>
      </c>
    </row>
    <row r="134" spans="1:12" x14ac:dyDescent="0.25">
      <c r="A134" s="4" t="s">
        <v>323</v>
      </c>
      <c r="B134" s="6">
        <v>45810</v>
      </c>
      <c r="C134" s="4" t="s">
        <v>324</v>
      </c>
      <c r="D134" s="4" t="s">
        <v>48</v>
      </c>
      <c r="E134" s="4" t="s">
        <v>57</v>
      </c>
      <c r="F134" s="7">
        <v>17</v>
      </c>
      <c r="G134" s="7">
        <v>0.03</v>
      </c>
      <c r="H134" s="7">
        <v>85748</v>
      </c>
      <c r="I134" s="4">
        <v>59500</v>
      </c>
      <c r="J134" s="7">
        <v>26248</v>
      </c>
      <c r="K134" s="4" t="s">
        <v>39</v>
      </c>
      <c r="L134" s="4" t="s">
        <v>45</v>
      </c>
    </row>
    <row r="135" spans="1:12" x14ac:dyDescent="0.25">
      <c r="A135" s="4" t="s">
        <v>325</v>
      </c>
      <c r="B135" s="6">
        <v>45826</v>
      </c>
      <c r="C135" s="4" t="s">
        <v>326</v>
      </c>
      <c r="D135" s="4" t="s">
        <v>125</v>
      </c>
      <c r="E135" s="4" t="s">
        <v>195</v>
      </c>
      <c r="F135" s="7">
        <v>7</v>
      </c>
      <c r="G135" s="7">
        <v>0.12</v>
      </c>
      <c r="H135" s="7">
        <v>6776</v>
      </c>
      <c r="I135" s="4">
        <v>4550</v>
      </c>
      <c r="J135" s="7">
        <v>2226</v>
      </c>
      <c r="K135" s="4" t="s">
        <v>39</v>
      </c>
      <c r="L135" s="4" t="s">
        <v>122</v>
      </c>
    </row>
    <row r="136" spans="1:12" x14ac:dyDescent="0.25">
      <c r="A136" s="4" t="s">
        <v>327</v>
      </c>
      <c r="B136" s="6">
        <v>45701</v>
      </c>
      <c r="C136" s="4" t="s">
        <v>119</v>
      </c>
      <c r="D136" s="4" t="s">
        <v>272</v>
      </c>
      <c r="E136" s="4" t="s">
        <v>81</v>
      </c>
      <c r="F136" s="7">
        <v>8</v>
      </c>
      <c r="G136" s="7">
        <v>0.08</v>
      </c>
      <c r="H136" s="7">
        <v>66240</v>
      </c>
      <c r="I136" s="4">
        <v>52000</v>
      </c>
      <c r="J136" s="7">
        <v>14240</v>
      </c>
      <c r="K136" s="4" t="s">
        <v>44</v>
      </c>
      <c r="L136" s="4" t="s">
        <v>35</v>
      </c>
    </row>
    <row r="137" spans="1:12" x14ac:dyDescent="0.25">
      <c r="A137" s="4" t="s">
        <v>328</v>
      </c>
      <c r="B137" s="6">
        <v>45760</v>
      </c>
      <c r="C137" s="4" t="s">
        <v>47</v>
      </c>
      <c r="D137" s="4" t="s">
        <v>241</v>
      </c>
      <c r="E137" s="4" t="s">
        <v>162</v>
      </c>
      <c r="F137" s="7">
        <v>9</v>
      </c>
      <c r="G137" s="7">
        <v>0.12</v>
      </c>
      <c r="H137" s="7">
        <v>126720</v>
      </c>
      <c r="I137" s="4">
        <v>103500</v>
      </c>
      <c r="J137" s="7">
        <v>23220</v>
      </c>
      <c r="K137" s="4" t="s">
        <v>63</v>
      </c>
      <c r="L137" s="4" t="s">
        <v>780</v>
      </c>
    </row>
    <row r="138" spans="1:12" x14ac:dyDescent="0.25">
      <c r="A138" s="4" t="s">
        <v>329</v>
      </c>
      <c r="B138" s="6">
        <v>45798</v>
      </c>
      <c r="C138" s="4" t="s">
        <v>330</v>
      </c>
      <c r="D138" s="4" t="s">
        <v>227</v>
      </c>
      <c r="E138" s="4" t="s">
        <v>33</v>
      </c>
      <c r="F138" s="7">
        <v>3</v>
      </c>
      <c r="G138" s="7">
        <v>0</v>
      </c>
      <c r="H138" s="7">
        <v>10800</v>
      </c>
      <c r="I138" s="4">
        <v>7200</v>
      </c>
      <c r="J138" s="7">
        <v>3600</v>
      </c>
      <c r="K138" s="4" t="s">
        <v>44</v>
      </c>
      <c r="L138" s="4" t="s">
        <v>35</v>
      </c>
    </row>
    <row r="139" spans="1:12" x14ac:dyDescent="0.25">
      <c r="A139" s="4" t="s">
        <v>331</v>
      </c>
      <c r="B139" s="6">
        <v>45813</v>
      </c>
      <c r="C139" s="4" t="s">
        <v>41</v>
      </c>
      <c r="D139" s="4" t="s">
        <v>185</v>
      </c>
      <c r="E139" s="4" t="s">
        <v>162</v>
      </c>
      <c r="F139" s="7">
        <v>9</v>
      </c>
      <c r="G139" s="7">
        <v>0</v>
      </c>
      <c r="H139" s="7">
        <v>144000</v>
      </c>
      <c r="I139" s="4">
        <v>103500</v>
      </c>
      <c r="J139" s="7">
        <v>40500</v>
      </c>
      <c r="K139" s="4" t="s">
        <v>102</v>
      </c>
      <c r="L139" s="4" t="s">
        <v>35</v>
      </c>
    </row>
    <row r="140" spans="1:12" x14ac:dyDescent="0.25">
      <c r="A140" s="4" t="s">
        <v>332</v>
      </c>
      <c r="B140" s="6">
        <v>45685</v>
      </c>
      <c r="C140" s="4" t="s">
        <v>83</v>
      </c>
      <c r="D140" s="4" t="s">
        <v>164</v>
      </c>
      <c r="E140" s="4" t="s">
        <v>91</v>
      </c>
      <c r="F140" s="7">
        <v>14</v>
      </c>
      <c r="G140" s="7">
        <v>0.08</v>
      </c>
      <c r="H140" s="7">
        <v>43792</v>
      </c>
      <c r="I140" s="4">
        <v>30800</v>
      </c>
      <c r="J140" s="7">
        <v>12992</v>
      </c>
      <c r="K140" s="4" t="s">
        <v>44</v>
      </c>
      <c r="L140" s="4" t="s">
        <v>35</v>
      </c>
    </row>
    <row r="141" spans="1:12" x14ac:dyDescent="0.25">
      <c r="A141" s="4" t="s">
        <v>333</v>
      </c>
      <c r="B141" s="6">
        <v>45805</v>
      </c>
      <c r="C141" s="4" t="s">
        <v>334</v>
      </c>
      <c r="D141" s="4" t="s">
        <v>133</v>
      </c>
      <c r="E141" s="4" t="s">
        <v>67</v>
      </c>
      <c r="F141" s="7">
        <v>9</v>
      </c>
      <c r="G141" s="7">
        <v>0.08</v>
      </c>
      <c r="H141" s="7">
        <v>56304</v>
      </c>
      <c r="I141" s="4">
        <v>40500</v>
      </c>
      <c r="J141" s="7">
        <v>15804</v>
      </c>
      <c r="K141" s="4" t="s">
        <v>39</v>
      </c>
      <c r="L141" s="4" t="s">
        <v>45</v>
      </c>
    </row>
    <row r="142" spans="1:12" x14ac:dyDescent="0.25">
      <c r="A142" s="4" t="s">
        <v>335</v>
      </c>
      <c r="B142" s="6">
        <v>45775</v>
      </c>
      <c r="C142" s="4" t="s">
        <v>336</v>
      </c>
      <c r="D142" s="4" t="s">
        <v>241</v>
      </c>
      <c r="E142" s="4" t="s">
        <v>67</v>
      </c>
      <c r="F142" s="7">
        <v>11</v>
      </c>
      <c r="G142" s="7">
        <v>0.12</v>
      </c>
      <c r="H142" s="7">
        <v>65824</v>
      </c>
      <c r="I142" s="4">
        <v>49500</v>
      </c>
      <c r="J142" s="7">
        <v>16324</v>
      </c>
      <c r="K142" s="4" t="s">
        <v>63</v>
      </c>
      <c r="L142" s="4" t="s">
        <v>45</v>
      </c>
    </row>
    <row r="143" spans="1:12" x14ac:dyDescent="0.25">
      <c r="A143" s="4" t="s">
        <v>337</v>
      </c>
      <c r="B143" s="6">
        <v>45820</v>
      </c>
      <c r="C143" s="4" t="s">
        <v>287</v>
      </c>
      <c r="D143" s="4" t="s">
        <v>52</v>
      </c>
      <c r="E143" s="4" t="s">
        <v>67</v>
      </c>
      <c r="F143" s="7">
        <v>3</v>
      </c>
      <c r="G143" s="7">
        <v>0.05</v>
      </c>
      <c r="H143" s="7">
        <v>19380</v>
      </c>
      <c r="I143" s="4">
        <v>13500</v>
      </c>
      <c r="J143" s="7">
        <v>5880</v>
      </c>
      <c r="K143" s="4" t="s">
        <v>39</v>
      </c>
      <c r="L143" s="4" t="s">
        <v>35</v>
      </c>
    </row>
    <row r="144" spans="1:12" x14ac:dyDescent="0.25">
      <c r="A144" s="4" t="s">
        <v>338</v>
      </c>
      <c r="B144" s="6">
        <v>45795</v>
      </c>
      <c r="C144" s="4" t="s">
        <v>339</v>
      </c>
      <c r="D144" s="4" t="s">
        <v>107</v>
      </c>
      <c r="E144" s="4" t="s">
        <v>116</v>
      </c>
      <c r="F144" s="7">
        <v>12</v>
      </c>
      <c r="G144" s="7">
        <v>0.08</v>
      </c>
      <c r="H144" s="7">
        <v>132480</v>
      </c>
      <c r="I144" s="4">
        <v>102000</v>
      </c>
      <c r="J144" s="7">
        <v>30480</v>
      </c>
      <c r="K144" s="4" t="s">
        <v>34</v>
      </c>
      <c r="L144" s="4" t="s">
        <v>340</v>
      </c>
    </row>
    <row r="145" spans="1:12" x14ac:dyDescent="0.25">
      <c r="A145" s="4" t="s">
        <v>341</v>
      </c>
      <c r="B145" s="6">
        <v>45799</v>
      </c>
      <c r="C145" s="4" t="s">
        <v>342</v>
      </c>
      <c r="D145" s="4" t="s">
        <v>202</v>
      </c>
      <c r="E145" s="4" t="s">
        <v>95</v>
      </c>
      <c r="F145" s="7">
        <v>11</v>
      </c>
      <c r="G145" s="7">
        <v>0</v>
      </c>
      <c r="H145" s="7">
        <v>572000</v>
      </c>
      <c r="I145" s="4">
        <v>462000</v>
      </c>
      <c r="J145" s="7">
        <v>110000</v>
      </c>
      <c r="K145" s="4" t="s">
        <v>102</v>
      </c>
      <c r="L145" s="4" t="s">
        <v>122</v>
      </c>
    </row>
    <row r="146" spans="1:12" x14ac:dyDescent="0.25">
      <c r="A146" s="4" t="s">
        <v>343</v>
      </c>
      <c r="B146" s="6">
        <v>45709</v>
      </c>
      <c r="C146" s="4" t="s">
        <v>173</v>
      </c>
      <c r="D146" s="4" t="s">
        <v>241</v>
      </c>
      <c r="E146" s="4" t="s">
        <v>49</v>
      </c>
      <c r="F146" s="7">
        <v>7</v>
      </c>
      <c r="G146" s="7">
        <v>0.05</v>
      </c>
      <c r="H146" s="7">
        <v>31920</v>
      </c>
      <c r="I146" s="4">
        <v>22400</v>
      </c>
      <c r="J146" s="7">
        <v>9520</v>
      </c>
      <c r="K146" s="4" t="s">
        <v>63</v>
      </c>
      <c r="L146" s="4" t="s">
        <v>35</v>
      </c>
    </row>
    <row r="147" spans="1:12" x14ac:dyDescent="0.25">
      <c r="A147" s="4" t="s">
        <v>344</v>
      </c>
      <c r="B147" s="6">
        <v>45816</v>
      </c>
      <c r="C147" s="4" t="s">
        <v>345</v>
      </c>
      <c r="D147" s="4" t="s">
        <v>52</v>
      </c>
      <c r="E147" s="4" t="s">
        <v>116</v>
      </c>
      <c r="F147" s="7">
        <v>8</v>
      </c>
      <c r="G147" s="7">
        <v>0.12</v>
      </c>
      <c r="H147" s="7">
        <v>84480</v>
      </c>
      <c r="I147" s="4">
        <v>68000</v>
      </c>
      <c r="J147" s="7">
        <v>16480</v>
      </c>
      <c r="K147" s="4" t="s">
        <v>39</v>
      </c>
      <c r="L147" s="4" t="s">
        <v>35</v>
      </c>
    </row>
    <row r="148" spans="1:12" x14ac:dyDescent="0.25">
      <c r="A148" s="4" t="s">
        <v>346</v>
      </c>
      <c r="B148" s="6">
        <v>45659</v>
      </c>
      <c r="C148" s="4" t="s">
        <v>147</v>
      </c>
      <c r="D148" s="4" t="s">
        <v>192</v>
      </c>
      <c r="E148" s="4" t="s">
        <v>145</v>
      </c>
      <c r="F148" s="7">
        <v>16</v>
      </c>
      <c r="G148" s="7">
        <v>0.08</v>
      </c>
      <c r="H148" s="7">
        <v>36800</v>
      </c>
      <c r="I148" s="4">
        <v>25600</v>
      </c>
      <c r="J148" s="7">
        <v>11200</v>
      </c>
      <c r="K148" s="4" t="s">
        <v>137</v>
      </c>
      <c r="L148" s="4" t="s">
        <v>45</v>
      </c>
    </row>
    <row r="149" spans="1:12" x14ac:dyDescent="0.25">
      <c r="A149" s="4" t="s">
        <v>347</v>
      </c>
      <c r="B149" s="6">
        <v>45805</v>
      </c>
      <c r="C149" s="4" t="s">
        <v>76</v>
      </c>
      <c r="D149" s="4" t="s">
        <v>70</v>
      </c>
      <c r="E149" s="4" t="s">
        <v>57</v>
      </c>
      <c r="F149" s="7">
        <v>11</v>
      </c>
      <c r="G149" s="7">
        <v>0.05</v>
      </c>
      <c r="H149" s="7">
        <v>54340</v>
      </c>
      <c r="I149" s="4">
        <v>38500</v>
      </c>
      <c r="J149" s="7">
        <v>15840</v>
      </c>
      <c r="K149" s="4" t="s">
        <v>39</v>
      </c>
      <c r="L149" s="4" t="s">
        <v>122</v>
      </c>
    </row>
    <row r="150" spans="1:12" x14ac:dyDescent="0.25">
      <c r="A150" s="4" t="s">
        <v>348</v>
      </c>
      <c r="B150" s="6">
        <v>45805</v>
      </c>
      <c r="C150" s="4" t="s">
        <v>211</v>
      </c>
      <c r="D150" s="4" t="s">
        <v>182</v>
      </c>
      <c r="E150" s="4" t="s">
        <v>62</v>
      </c>
      <c r="F150" s="7">
        <v>8</v>
      </c>
      <c r="G150" s="7">
        <v>0.12</v>
      </c>
      <c r="H150" s="7">
        <v>73920</v>
      </c>
      <c r="I150" s="4">
        <v>60000</v>
      </c>
      <c r="J150" s="7">
        <v>13920</v>
      </c>
      <c r="K150" s="4" t="s">
        <v>102</v>
      </c>
      <c r="L150" s="4" t="s">
        <v>122</v>
      </c>
    </row>
    <row r="151" spans="1:12" x14ac:dyDescent="0.25">
      <c r="A151" s="4" t="s">
        <v>349</v>
      </c>
      <c r="B151" s="6">
        <v>45833</v>
      </c>
      <c r="C151" s="4" t="s">
        <v>76</v>
      </c>
      <c r="D151" s="4" t="s">
        <v>133</v>
      </c>
      <c r="E151" s="4" t="s">
        <v>57</v>
      </c>
      <c r="F151" s="7">
        <v>12</v>
      </c>
      <c r="G151" s="7">
        <v>0.05</v>
      </c>
      <c r="H151" s="7">
        <v>59280</v>
      </c>
      <c r="I151" s="4">
        <v>42000</v>
      </c>
      <c r="J151" s="7">
        <v>17280</v>
      </c>
      <c r="K151" s="4" t="s">
        <v>39</v>
      </c>
      <c r="L151" s="4" t="s">
        <v>122</v>
      </c>
    </row>
    <row r="152" spans="1:12" x14ac:dyDescent="0.25">
      <c r="A152" s="4" t="s">
        <v>350</v>
      </c>
      <c r="B152" s="6">
        <v>45830</v>
      </c>
      <c r="C152" s="4" t="s">
        <v>243</v>
      </c>
      <c r="D152" s="4" t="s">
        <v>227</v>
      </c>
      <c r="E152" s="4" t="s">
        <v>78</v>
      </c>
      <c r="F152" s="7">
        <v>1</v>
      </c>
      <c r="G152" s="7">
        <v>0</v>
      </c>
      <c r="H152" s="7">
        <v>9000</v>
      </c>
      <c r="I152" s="4">
        <v>6500</v>
      </c>
      <c r="J152" s="7">
        <v>2500</v>
      </c>
      <c r="K152" s="4" t="s">
        <v>44</v>
      </c>
      <c r="L152" s="4" t="s">
        <v>122</v>
      </c>
    </row>
    <row r="153" spans="1:12" x14ac:dyDescent="0.25">
      <c r="A153" s="4" t="s">
        <v>351</v>
      </c>
      <c r="B153" s="6">
        <v>45725</v>
      </c>
      <c r="C153" s="4" t="s">
        <v>55</v>
      </c>
      <c r="D153" s="4" t="s">
        <v>305</v>
      </c>
      <c r="E153" s="4" t="s">
        <v>57</v>
      </c>
      <c r="F153" s="7">
        <v>6</v>
      </c>
      <c r="G153" s="7">
        <v>0.08</v>
      </c>
      <c r="H153" s="7">
        <v>28704</v>
      </c>
      <c r="I153" s="4">
        <v>21000</v>
      </c>
      <c r="J153" s="7">
        <v>7704</v>
      </c>
      <c r="K153" s="4" t="s">
        <v>34</v>
      </c>
      <c r="L153" s="4" t="s">
        <v>35</v>
      </c>
    </row>
    <row r="154" spans="1:12" x14ac:dyDescent="0.25">
      <c r="A154" s="4" t="s">
        <v>352</v>
      </c>
      <c r="B154" s="6">
        <v>45765</v>
      </c>
      <c r="C154" s="4" t="s">
        <v>299</v>
      </c>
      <c r="D154" s="4" t="s">
        <v>185</v>
      </c>
      <c r="E154" s="4" t="s">
        <v>121</v>
      </c>
      <c r="F154" s="7">
        <v>14</v>
      </c>
      <c r="G154" s="7">
        <v>0</v>
      </c>
      <c r="H154" s="7">
        <v>50400</v>
      </c>
      <c r="I154" s="4">
        <v>33600</v>
      </c>
      <c r="J154" s="7">
        <v>16800</v>
      </c>
      <c r="K154" s="4" t="s">
        <v>102</v>
      </c>
      <c r="L154" s="4" t="s">
        <v>35</v>
      </c>
    </row>
    <row r="155" spans="1:12" x14ac:dyDescent="0.25">
      <c r="A155" s="4" t="s">
        <v>353</v>
      </c>
      <c r="B155" s="6">
        <v>45833</v>
      </c>
      <c r="C155" s="4" t="s">
        <v>154</v>
      </c>
      <c r="D155" s="4" t="s">
        <v>185</v>
      </c>
      <c r="E155" s="4" t="s">
        <v>53</v>
      </c>
      <c r="F155" s="7">
        <v>5</v>
      </c>
      <c r="G155" s="7">
        <v>0.08</v>
      </c>
      <c r="H155" s="7">
        <v>19320</v>
      </c>
      <c r="I155" s="4">
        <v>14000</v>
      </c>
      <c r="J155" s="7">
        <v>5320</v>
      </c>
      <c r="K155" s="4" t="s">
        <v>102</v>
      </c>
      <c r="L155" s="4" t="s">
        <v>35</v>
      </c>
    </row>
    <row r="156" spans="1:12" x14ac:dyDescent="0.25">
      <c r="A156" s="4" t="s">
        <v>354</v>
      </c>
      <c r="B156" s="6">
        <v>45695</v>
      </c>
      <c r="C156" s="4" t="s">
        <v>355</v>
      </c>
      <c r="D156" s="4" t="s">
        <v>136</v>
      </c>
      <c r="E156" s="4" t="s">
        <v>99</v>
      </c>
      <c r="F156" s="7">
        <v>13</v>
      </c>
      <c r="G156" s="7">
        <v>0</v>
      </c>
      <c r="H156" s="7">
        <v>494000</v>
      </c>
      <c r="I156" s="4">
        <v>390000</v>
      </c>
      <c r="J156" s="7">
        <v>104000</v>
      </c>
      <c r="K156" s="4" t="s">
        <v>34</v>
      </c>
      <c r="L156" s="4" t="s">
        <v>35</v>
      </c>
    </row>
    <row r="157" spans="1:12" x14ac:dyDescent="0.25">
      <c r="A157" s="4" t="s">
        <v>356</v>
      </c>
      <c r="B157" s="6">
        <v>45819</v>
      </c>
      <c r="C157" s="4" t="s">
        <v>342</v>
      </c>
      <c r="D157" s="4" t="s">
        <v>56</v>
      </c>
      <c r="E157" s="4" t="s">
        <v>145</v>
      </c>
      <c r="F157" s="7">
        <v>16</v>
      </c>
      <c r="G157" s="7">
        <v>0</v>
      </c>
      <c r="H157" s="7">
        <v>40000</v>
      </c>
      <c r="I157" s="4">
        <v>25600</v>
      </c>
      <c r="J157" s="7">
        <v>14400</v>
      </c>
      <c r="K157" s="4" t="s">
        <v>63</v>
      </c>
      <c r="L157" s="4" t="s">
        <v>35</v>
      </c>
    </row>
    <row r="158" spans="1:12" x14ac:dyDescent="0.25">
      <c r="A158" s="4" t="s">
        <v>357</v>
      </c>
      <c r="B158" s="6">
        <v>45683</v>
      </c>
      <c r="C158" s="4" t="s">
        <v>109</v>
      </c>
      <c r="D158" s="4" t="s">
        <v>98</v>
      </c>
      <c r="E158" s="4" t="s">
        <v>145</v>
      </c>
      <c r="F158" s="7">
        <v>2</v>
      </c>
      <c r="G158" s="7">
        <v>0.05</v>
      </c>
      <c r="H158" s="7">
        <v>4750</v>
      </c>
      <c r="I158" s="4">
        <v>3200</v>
      </c>
      <c r="J158" s="7">
        <v>1550</v>
      </c>
      <c r="K158" s="4" t="s">
        <v>39</v>
      </c>
      <c r="L158" s="4" t="s">
        <v>45</v>
      </c>
    </row>
    <row r="159" spans="1:12" x14ac:dyDescent="0.25">
      <c r="A159" s="4" t="s">
        <v>358</v>
      </c>
      <c r="B159" s="6">
        <v>45743</v>
      </c>
      <c r="C159" s="4" t="s">
        <v>359</v>
      </c>
      <c r="D159" s="4" t="s">
        <v>174</v>
      </c>
      <c r="E159" s="4" t="s">
        <v>67</v>
      </c>
      <c r="F159" s="7">
        <v>4</v>
      </c>
      <c r="G159" s="7">
        <v>0.05</v>
      </c>
      <c r="H159" s="7">
        <v>25840</v>
      </c>
      <c r="I159" s="4">
        <v>18000</v>
      </c>
      <c r="J159" s="7">
        <v>7840</v>
      </c>
      <c r="K159" s="4" t="s">
        <v>102</v>
      </c>
      <c r="L159" s="4" t="s">
        <v>35</v>
      </c>
    </row>
    <row r="160" spans="1:12" x14ac:dyDescent="0.25">
      <c r="A160" s="4" t="s">
        <v>360</v>
      </c>
      <c r="B160" s="6">
        <v>45747</v>
      </c>
      <c r="C160" s="4" t="s">
        <v>207</v>
      </c>
      <c r="D160" s="4" t="s">
        <v>42</v>
      </c>
      <c r="E160" s="4" t="s">
        <v>91</v>
      </c>
      <c r="F160" s="7">
        <v>14</v>
      </c>
      <c r="G160" s="7">
        <v>0</v>
      </c>
      <c r="H160" s="7">
        <v>47600</v>
      </c>
      <c r="I160" s="4">
        <v>30800</v>
      </c>
      <c r="J160" s="7">
        <v>16800</v>
      </c>
      <c r="K160" s="4" t="s">
        <v>44</v>
      </c>
      <c r="L160" s="4" t="s">
        <v>122</v>
      </c>
    </row>
    <row r="161" spans="1:12" x14ac:dyDescent="0.25">
      <c r="A161" s="4" t="s">
        <v>361</v>
      </c>
      <c r="B161" s="6">
        <v>45730</v>
      </c>
      <c r="C161" s="4" t="s">
        <v>239</v>
      </c>
      <c r="D161" s="4" t="s">
        <v>98</v>
      </c>
      <c r="E161" s="4" t="s">
        <v>121</v>
      </c>
      <c r="F161" s="7">
        <v>18</v>
      </c>
      <c r="G161" s="7">
        <v>0</v>
      </c>
      <c r="H161" s="7">
        <v>64800</v>
      </c>
      <c r="I161" s="4">
        <v>43200</v>
      </c>
      <c r="J161" s="7">
        <v>21600</v>
      </c>
      <c r="K161" s="4" t="s">
        <v>39</v>
      </c>
      <c r="L161" s="4" t="s">
        <v>45</v>
      </c>
    </row>
    <row r="162" spans="1:12" x14ac:dyDescent="0.25">
      <c r="A162" s="4" t="s">
        <v>362</v>
      </c>
      <c r="B162" s="6">
        <v>45731</v>
      </c>
      <c r="C162" s="4" t="s">
        <v>345</v>
      </c>
      <c r="D162" s="4" t="s">
        <v>171</v>
      </c>
      <c r="E162" s="4" t="s">
        <v>78</v>
      </c>
      <c r="F162" s="7">
        <v>13</v>
      </c>
      <c r="G162" s="7">
        <v>0.08</v>
      </c>
      <c r="H162" s="7">
        <v>107640</v>
      </c>
      <c r="I162" s="4">
        <v>84500</v>
      </c>
      <c r="J162" s="7">
        <v>23140</v>
      </c>
      <c r="K162" s="4" t="s">
        <v>34</v>
      </c>
      <c r="L162" s="4" t="s">
        <v>35</v>
      </c>
    </row>
    <row r="163" spans="1:12" x14ac:dyDescent="0.25">
      <c r="A163" s="4" t="s">
        <v>363</v>
      </c>
      <c r="B163" s="6">
        <v>45676</v>
      </c>
      <c r="C163" s="4" t="s">
        <v>364</v>
      </c>
      <c r="D163" s="4" t="s">
        <v>142</v>
      </c>
      <c r="E163" s="4" t="s">
        <v>85</v>
      </c>
      <c r="F163" s="7">
        <v>13</v>
      </c>
      <c r="G163" s="7">
        <v>0.12</v>
      </c>
      <c r="H163" s="7">
        <v>74360</v>
      </c>
      <c r="I163" s="4">
        <v>54600</v>
      </c>
      <c r="J163" s="7">
        <v>19760</v>
      </c>
      <c r="K163" s="4" t="s">
        <v>102</v>
      </c>
      <c r="L163" s="4" t="s">
        <v>35</v>
      </c>
    </row>
    <row r="164" spans="1:12" x14ac:dyDescent="0.25">
      <c r="A164" s="4" t="s">
        <v>365</v>
      </c>
      <c r="B164" s="6">
        <v>45771</v>
      </c>
      <c r="C164" s="4" t="s">
        <v>111</v>
      </c>
      <c r="D164" s="4" t="s">
        <v>48</v>
      </c>
      <c r="E164" s="4" t="s">
        <v>162</v>
      </c>
      <c r="F164" s="7">
        <v>13</v>
      </c>
      <c r="G164" s="7">
        <v>0.03</v>
      </c>
      <c r="H164" s="7">
        <v>201760</v>
      </c>
      <c r="I164" s="4">
        <v>149500</v>
      </c>
      <c r="J164" s="7">
        <v>52260</v>
      </c>
      <c r="K164" s="4" t="s">
        <v>39</v>
      </c>
      <c r="L164" s="4" t="s">
        <v>122</v>
      </c>
    </row>
    <row r="165" spans="1:12" x14ac:dyDescent="0.25">
      <c r="A165" s="4" t="s">
        <v>366</v>
      </c>
      <c r="B165" s="6">
        <v>45705</v>
      </c>
      <c r="C165" s="4" t="s">
        <v>367</v>
      </c>
      <c r="D165" s="4" t="s">
        <v>115</v>
      </c>
      <c r="E165" s="4" t="s">
        <v>53</v>
      </c>
      <c r="F165" s="7">
        <v>14</v>
      </c>
      <c r="G165" s="7">
        <v>0</v>
      </c>
      <c r="H165" s="7">
        <v>58800</v>
      </c>
      <c r="I165" s="4">
        <v>39200</v>
      </c>
      <c r="J165" s="7">
        <v>19600</v>
      </c>
      <c r="K165" s="4" t="s">
        <v>44</v>
      </c>
      <c r="L165" s="4" t="s">
        <v>35</v>
      </c>
    </row>
    <row r="166" spans="1:12" x14ac:dyDescent="0.25">
      <c r="A166" s="4" t="s">
        <v>368</v>
      </c>
      <c r="B166" s="6">
        <v>45700</v>
      </c>
      <c r="C166" s="4" t="s">
        <v>322</v>
      </c>
      <c r="D166" s="4" t="s">
        <v>369</v>
      </c>
      <c r="E166" s="4" t="s">
        <v>152</v>
      </c>
      <c r="F166" s="7">
        <v>3</v>
      </c>
      <c r="G166" s="7">
        <v>0</v>
      </c>
      <c r="H166" s="7">
        <v>8400</v>
      </c>
      <c r="I166" s="4">
        <v>5400</v>
      </c>
      <c r="J166" s="7">
        <v>3000</v>
      </c>
      <c r="K166" s="4" t="s">
        <v>44</v>
      </c>
      <c r="L166" s="4" t="s">
        <v>45</v>
      </c>
    </row>
    <row r="167" spans="1:12" x14ac:dyDescent="0.25">
      <c r="A167" s="4" t="s">
        <v>370</v>
      </c>
      <c r="B167" s="6">
        <v>45759</v>
      </c>
      <c r="C167" s="4" t="s">
        <v>371</v>
      </c>
      <c r="D167" s="4" t="s">
        <v>151</v>
      </c>
      <c r="E167" s="4" t="s">
        <v>62</v>
      </c>
      <c r="F167" s="7">
        <v>1</v>
      </c>
      <c r="G167" s="7">
        <v>0.12</v>
      </c>
      <c r="H167" s="7">
        <v>9240</v>
      </c>
      <c r="I167" s="4">
        <v>7500</v>
      </c>
      <c r="J167" s="7">
        <v>1740</v>
      </c>
      <c r="K167" s="4" t="s">
        <v>63</v>
      </c>
      <c r="L167" s="4" t="s">
        <v>122</v>
      </c>
    </row>
    <row r="168" spans="1:12" x14ac:dyDescent="0.25">
      <c r="A168" s="4" t="s">
        <v>372</v>
      </c>
      <c r="B168" s="6">
        <v>45716</v>
      </c>
      <c r="C168" s="4" t="s">
        <v>211</v>
      </c>
      <c r="D168" s="4" t="s">
        <v>231</v>
      </c>
      <c r="E168" s="4" t="s">
        <v>62</v>
      </c>
      <c r="F168" s="7">
        <v>13</v>
      </c>
      <c r="G168" s="7">
        <v>0.03</v>
      </c>
      <c r="H168" s="7">
        <v>132405</v>
      </c>
      <c r="I168" s="4">
        <v>97500</v>
      </c>
      <c r="J168" s="7">
        <v>34905</v>
      </c>
      <c r="K168" s="4" t="s">
        <v>44</v>
      </c>
      <c r="L168" s="4" t="s">
        <v>35</v>
      </c>
    </row>
    <row r="169" spans="1:12" x14ac:dyDescent="0.25">
      <c r="A169" s="4" t="s">
        <v>373</v>
      </c>
      <c r="B169" s="6">
        <v>45666</v>
      </c>
      <c r="C169" s="4" t="s">
        <v>76</v>
      </c>
      <c r="D169" s="4" t="s">
        <v>314</v>
      </c>
      <c r="E169" s="4" t="s">
        <v>67</v>
      </c>
      <c r="F169" s="7">
        <v>6</v>
      </c>
      <c r="G169" s="7">
        <v>0</v>
      </c>
      <c r="H169" s="7">
        <v>40800</v>
      </c>
      <c r="I169" s="4">
        <v>27000</v>
      </c>
      <c r="J169" s="7">
        <v>13800</v>
      </c>
      <c r="K169" s="4" t="s">
        <v>102</v>
      </c>
      <c r="L169" s="4" t="s">
        <v>45</v>
      </c>
    </row>
    <row r="170" spans="1:12" x14ac:dyDescent="0.25">
      <c r="A170" s="4" t="s">
        <v>374</v>
      </c>
      <c r="B170" s="6">
        <v>45798</v>
      </c>
      <c r="C170" s="4" t="s">
        <v>73</v>
      </c>
      <c r="D170" s="4" t="s">
        <v>133</v>
      </c>
      <c r="E170" s="4" t="s">
        <v>116</v>
      </c>
      <c r="F170" s="7">
        <v>18</v>
      </c>
      <c r="G170" s="7">
        <v>0.03</v>
      </c>
      <c r="H170" s="7">
        <v>209520</v>
      </c>
      <c r="I170" s="4">
        <v>153000</v>
      </c>
      <c r="J170" s="7">
        <v>56520</v>
      </c>
      <c r="K170" s="4" t="s">
        <v>39</v>
      </c>
      <c r="L170" s="4" t="s">
        <v>35</v>
      </c>
    </row>
    <row r="171" spans="1:12" x14ac:dyDescent="0.25">
      <c r="A171" s="4" t="s">
        <v>375</v>
      </c>
      <c r="B171" s="6">
        <v>45820</v>
      </c>
      <c r="C171" s="4" t="s">
        <v>216</v>
      </c>
      <c r="D171" s="4" t="s">
        <v>202</v>
      </c>
      <c r="E171" s="4" t="s">
        <v>162</v>
      </c>
      <c r="F171" s="7">
        <v>15</v>
      </c>
      <c r="G171" s="7">
        <v>0.1</v>
      </c>
      <c r="H171" s="7">
        <v>216000</v>
      </c>
      <c r="I171" s="4">
        <v>172500</v>
      </c>
      <c r="J171" s="7">
        <v>43500</v>
      </c>
      <c r="K171" s="4" t="s">
        <v>102</v>
      </c>
      <c r="L171" s="4" t="s">
        <v>122</v>
      </c>
    </row>
    <row r="172" spans="1:12" x14ac:dyDescent="0.25">
      <c r="A172" s="4" t="s">
        <v>376</v>
      </c>
      <c r="B172" s="6">
        <v>45796</v>
      </c>
      <c r="C172" s="4" t="s">
        <v>170</v>
      </c>
      <c r="D172" s="4" t="s">
        <v>219</v>
      </c>
      <c r="E172" s="4" t="s">
        <v>57</v>
      </c>
      <c r="F172" s="7">
        <v>12</v>
      </c>
      <c r="G172" s="7">
        <v>0.05</v>
      </c>
      <c r="H172" s="7">
        <v>59280</v>
      </c>
      <c r="I172" s="4">
        <v>42000</v>
      </c>
      <c r="J172" s="7">
        <v>17280</v>
      </c>
      <c r="K172" s="4" t="s">
        <v>63</v>
      </c>
      <c r="L172" s="4" t="s">
        <v>45</v>
      </c>
    </row>
    <row r="173" spans="1:12" x14ac:dyDescent="0.25">
      <c r="A173" s="4" t="s">
        <v>377</v>
      </c>
      <c r="B173" s="6">
        <v>45658</v>
      </c>
      <c r="C173" s="4" t="s">
        <v>135</v>
      </c>
      <c r="D173" s="4" t="s">
        <v>112</v>
      </c>
      <c r="E173" s="4" t="s">
        <v>67</v>
      </c>
      <c r="F173" s="7">
        <v>10</v>
      </c>
      <c r="G173" s="7">
        <v>0</v>
      </c>
      <c r="H173" s="7">
        <v>68000</v>
      </c>
      <c r="I173" s="4">
        <v>45000</v>
      </c>
      <c r="J173" s="7">
        <v>23000</v>
      </c>
      <c r="K173" s="4" t="s">
        <v>102</v>
      </c>
      <c r="L173" s="4" t="s">
        <v>35</v>
      </c>
    </row>
    <row r="174" spans="1:12" x14ac:dyDescent="0.25">
      <c r="A174" s="4" t="s">
        <v>378</v>
      </c>
      <c r="B174" s="6">
        <v>45783</v>
      </c>
      <c r="C174" s="4" t="s">
        <v>189</v>
      </c>
      <c r="D174" s="4" t="s">
        <v>133</v>
      </c>
      <c r="E174" s="4" t="s">
        <v>71</v>
      </c>
      <c r="F174" s="7">
        <v>1</v>
      </c>
      <c r="G174" s="7">
        <v>0.1</v>
      </c>
      <c r="H174" s="7">
        <v>6480</v>
      </c>
      <c r="I174" s="4">
        <v>4800</v>
      </c>
      <c r="J174" s="7">
        <v>1680</v>
      </c>
      <c r="K174" s="4" t="s">
        <v>187</v>
      </c>
      <c r="L174" s="4" t="s">
        <v>45</v>
      </c>
    </row>
    <row r="175" spans="1:12" x14ac:dyDescent="0.25">
      <c r="A175" s="4" t="s">
        <v>379</v>
      </c>
      <c r="B175" s="6">
        <v>45659</v>
      </c>
      <c r="C175" s="4" t="s">
        <v>168</v>
      </c>
      <c r="D175" s="4" t="s">
        <v>120</v>
      </c>
      <c r="E175" s="4" t="s">
        <v>91</v>
      </c>
      <c r="F175" s="7">
        <v>8</v>
      </c>
      <c r="G175" s="7">
        <v>0.12</v>
      </c>
      <c r="H175" s="7">
        <v>23936</v>
      </c>
      <c r="I175" s="4">
        <v>17600</v>
      </c>
      <c r="J175" s="7">
        <v>6336</v>
      </c>
      <c r="K175" s="4" t="s">
        <v>44</v>
      </c>
      <c r="L175" s="4" t="s">
        <v>45</v>
      </c>
    </row>
    <row r="176" spans="1:12" x14ac:dyDescent="0.25">
      <c r="A176" s="4" t="s">
        <v>380</v>
      </c>
      <c r="B176" s="6">
        <v>45823</v>
      </c>
      <c r="C176" s="4" t="s">
        <v>381</v>
      </c>
      <c r="D176" s="4" t="s">
        <v>84</v>
      </c>
      <c r="E176" s="4" t="s">
        <v>81</v>
      </c>
      <c r="F176" s="7">
        <v>6</v>
      </c>
      <c r="G176" s="7">
        <v>0.1</v>
      </c>
      <c r="H176" s="7">
        <v>48600</v>
      </c>
      <c r="I176" s="4">
        <v>39000</v>
      </c>
      <c r="J176" s="7">
        <v>9600</v>
      </c>
      <c r="K176" s="4" t="s">
        <v>44</v>
      </c>
      <c r="L176" s="4" t="s">
        <v>45</v>
      </c>
    </row>
    <row r="177" spans="1:12" x14ac:dyDescent="0.25">
      <c r="A177" s="4" t="s">
        <v>382</v>
      </c>
      <c r="B177" s="6">
        <v>45814</v>
      </c>
      <c r="C177" s="4" t="s">
        <v>336</v>
      </c>
      <c r="D177" s="4" t="s">
        <v>120</v>
      </c>
      <c r="E177" s="4" t="s">
        <v>145</v>
      </c>
      <c r="F177" s="7">
        <v>17</v>
      </c>
      <c r="G177" s="7">
        <v>0.12</v>
      </c>
      <c r="H177" s="7">
        <v>37400</v>
      </c>
      <c r="I177" s="4">
        <v>27200</v>
      </c>
      <c r="J177" s="7">
        <v>10200</v>
      </c>
      <c r="K177" s="4" t="s">
        <v>44</v>
      </c>
      <c r="L177" s="4" t="s">
        <v>122</v>
      </c>
    </row>
    <row r="178" spans="1:12" x14ac:dyDescent="0.25">
      <c r="A178" s="4" t="s">
        <v>383</v>
      </c>
      <c r="B178" s="6">
        <v>45675</v>
      </c>
      <c r="C178" s="4" t="s">
        <v>104</v>
      </c>
      <c r="D178" s="4" t="s">
        <v>166</v>
      </c>
      <c r="E178" s="4" t="s">
        <v>62</v>
      </c>
      <c r="F178" s="7">
        <v>14</v>
      </c>
      <c r="G178" s="7">
        <v>0</v>
      </c>
      <c r="H178" s="7">
        <v>147000</v>
      </c>
      <c r="I178" s="4">
        <v>105000</v>
      </c>
      <c r="J178" s="7">
        <v>42000</v>
      </c>
      <c r="K178" s="4" t="s">
        <v>34</v>
      </c>
      <c r="L178" s="4" t="s">
        <v>122</v>
      </c>
    </row>
    <row r="179" spans="1:12" x14ac:dyDescent="0.25">
      <c r="A179" s="4" t="s">
        <v>384</v>
      </c>
      <c r="B179" s="6">
        <v>45740</v>
      </c>
      <c r="C179" s="4" t="s">
        <v>385</v>
      </c>
      <c r="D179" s="4" t="s">
        <v>386</v>
      </c>
      <c r="E179" s="4" t="s">
        <v>162</v>
      </c>
      <c r="F179" s="7">
        <v>16</v>
      </c>
      <c r="G179" s="7">
        <v>0</v>
      </c>
      <c r="H179" s="7">
        <v>256000</v>
      </c>
      <c r="I179" s="4">
        <v>184000</v>
      </c>
      <c r="J179" s="7">
        <v>72000</v>
      </c>
      <c r="K179" s="4" t="s">
        <v>39</v>
      </c>
      <c r="L179" s="4" t="s">
        <v>35</v>
      </c>
    </row>
    <row r="180" spans="1:12" x14ac:dyDescent="0.25">
      <c r="A180" s="4" t="s">
        <v>387</v>
      </c>
      <c r="B180" s="6">
        <v>45690</v>
      </c>
      <c r="C180" s="4" t="s">
        <v>276</v>
      </c>
      <c r="D180" s="4" t="s">
        <v>151</v>
      </c>
      <c r="E180" s="4" t="s">
        <v>49</v>
      </c>
      <c r="F180" s="7">
        <v>10</v>
      </c>
      <c r="G180" s="7">
        <v>0.03</v>
      </c>
      <c r="H180" s="7">
        <v>46560</v>
      </c>
      <c r="I180" s="4">
        <v>32000</v>
      </c>
      <c r="J180" s="7">
        <v>14560</v>
      </c>
      <c r="K180" s="4" t="s">
        <v>63</v>
      </c>
      <c r="L180" s="4" t="s">
        <v>780</v>
      </c>
    </row>
    <row r="181" spans="1:12" x14ac:dyDescent="0.25">
      <c r="A181" s="4" t="s">
        <v>388</v>
      </c>
      <c r="B181" s="6">
        <v>45765</v>
      </c>
      <c r="C181" s="4" t="s">
        <v>191</v>
      </c>
      <c r="D181" s="4" t="s">
        <v>98</v>
      </c>
      <c r="E181" s="4" t="s">
        <v>162</v>
      </c>
      <c r="F181" s="7">
        <v>7</v>
      </c>
      <c r="G181" s="7">
        <v>0.03</v>
      </c>
      <c r="H181" s="7">
        <v>108640</v>
      </c>
      <c r="I181" s="4">
        <v>80500</v>
      </c>
      <c r="J181" s="7">
        <v>28140</v>
      </c>
      <c r="K181" s="4" t="s">
        <v>39</v>
      </c>
      <c r="L181" s="4" t="s">
        <v>45</v>
      </c>
    </row>
  </sheetData>
  <autoFilter ref="A1:L18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workbookViewId="0">
      <pane ySplit="1" topLeftCell="A2" activePane="bottomLeft" state="frozen"/>
      <selection activeCell="I10" sqref="I10"/>
      <selection pane="bottomLeft"/>
    </sheetView>
  </sheetViews>
  <sheetFormatPr defaultRowHeight="15" x14ac:dyDescent="0.25"/>
  <cols>
    <col min="1" max="1" width="13" bestFit="1" customWidth="1"/>
    <col min="2" max="2" width="26.42578125" customWidth="1"/>
    <col min="3" max="3" width="18.85546875" customWidth="1"/>
    <col min="4" max="5" width="12" customWidth="1"/>
  </cols>
  <sheetData>
    <row r="1" spans="1:5" ht="24" customHeight="1" x14ac:dyDescent="0.25">
      <c r="A1" s="5" t="s">
        <v>22</v>
      </c>
      <c r="B1" s="5" t="s">
        <v>451</v>
      </c>
      <c r="C1" s="5" t="s">
        <v>452</v>
      </c>
      <c r="D1" s="5" t="s">
        <v>453</v>
      </c>
      <c r="E1" s="5" t="s">
        <v>454</v>
      </c>
    </row>
    <row r="2" spans="1:5" x14ac:dyDescent="0.25">
      <c r="A2" s="4" t="s">
        <v>95</v>
      </c>
      <c r="B2" s="4" t="s">
        <v>455</v>
      </c>
      <c r="C2" s="4" t="s">
        <v>456</v>
      </c>
      <c r="D2" s="4">
        <v>42000</v>
      </c>
      <c r="E2" s="4">
        <v>52000</v>
      </c>
    </row>
    <row r="3" spans="1:5" x14ac:dyDescent="0.25">
      <c r="A3" s="4" t="s">
        <v>99</v>
      </c>
      <c r="B3" s="4" t="s">
        <v>457</v>
      </c>
      <c r="C3" s="4" t="s">
        <v>456</v>
      </c>
      <c r="D3" s="4">
        <v>30000</v>
      </c>
      <c r="E3" s="4">
        <v>38000</v>
      </c>
    </row>
    <row r="4" spans="1:5" x14ac:dyDescent="0.25">
      <c r="A4" s="4" t="s">
        <v>116</v>
      </c>
      <c r="B4" s="4" t="s">
        <v>458</v>
      </c>
      <c r="C4" s="4" t="s">
        <v>456</v>
      </c>
      <c r="D4" s="4">
        <v>8500</v>
      </c>
      <c r="E4" s="4">
        <v>12000</v>
      </c>
    </row>
    <row r="5" spans="1:5" x14ac:dyDescent="0.25">
      <c r="A5" s="4" t="s">
        <v>152</v>
      </c>
      <c r="B5" s="4" t="s">
        <v>459</v>
      </c>
      <c r="C5" s="4" t="s">
        <v>460</v>
      </c>
      <c r="D5" s="4">
        <v>1800</v>
      </c>
      <c r="E5" s="4">
        <v>2800</v>
      </c>
    </row>
    <row r="6" spans="1:5" x14ac:dyDescent="0.25">
      <c r="A6" s="4" t="s">
        <v>195</v>
      </c>
      <c r="B6" s="4" t="s">
        <v>461</v>
      </c>
      <c r="C6" s="4" t="s">
        <v>460</v>
      </c>
      <c r="D6" s="4">
        <v>650</v>
      </c>
      <c r="E6" s="4">
        <v>1100</v>
      </c>
    </row>
    <row r="7" spans="1:5" x14ac:dyDescent="0.25">
      <c r="A7" s="4" t="s">
        <v>71</v>
      </c>
      <c r="B7" s="4" t="s">
        <v>462</v>
      </c>
      <c r="C7" s="4" t="s">
        <v>463</v>
      </c>
      <c r="D7" s="4">
        <v>4800</v>
      </c>
      <c r="E7" s="4">
        <v>7200</v>
      </c>
    </row>
    <row r="8" spans="1:5" x14ac:dyDescent="0.25">
      <c r="A8" s="4" t="s">
        <v>62</v>
      </c>
      <c r="B8" s="4" t="s">
        <v>464</v>
      </c>
      <c r="C8" s="4" t="s">
        <v>463</v>
      </c>
      <c r="D8" s="4">
        <v>7500</v>
      </c>
      <c r="E8" s="4">
        <v>10500</v>
      </c>
    </row>
    <row r="9" spans="1:5" x14ac:dyDescent="0.25">
      <c r="A9" s="4" t="s">
        <v>78</v>
      </c>
      <c r="B9" s="4" t="s">
        <v>465</v>
      </c>
      <c r="C9" s="4" t="s">
        <v>463</v>
      </c>
      <c r="D9" s="4">
        <v>6500</v>
      </c>
      <c r="E9" s="4">
        <v>9000</v>
      </c>
    </row>
    <row r="10" spans="1:5" x14ac:dyDescent="0.25">
      <c r="A10" s="4" t="s">
        <v>67</v>
      </c>
      <c r="B10" s="4" t="s">
        <v>466</v>
      </c>
      <c r="C10" s="4" t="s">
        <v>456</v>
      </c>
      <c r="D10" s="4">
        <v>4500</v>
      </c>
      <c r="E10" s="4">
        <v>6800</v>
      </c>
    </row>
    <row r="11" spans="1:5" x14ac:dyDescent="0.25">
      <c r="A11" s="4" t="s">
        <v>91</v>
      </c>
      <c r="B11" s="4" t="s">
        <v>467</v>
      </c>
      <c r="C11" s="4" t="s">
        <v>456</v>
      </c>
      <c r="D11" s="4">
        <v>2200</v>
      </c>
      <c r="E11" s="4">
        <v>3400</v>
      </c>
    </row>
    <row r="12" spans="1:5" x14ac:dyDescent="0.25">
      <c r="A12" s="4" t="s">
        <v>43</v>
      </c>
      <c r="B12" s="4" t="s">
        <v>468</v>
      </c>
      <c r="C12" s="4" t="s">
        <v>460</v>
      </c>
      <c r="D12" s="4">
        <v>1200</v>
      </c>
      <c r="E12" s="4">
        <v>1900</v>
      </c>
    </row>
    <row r="13" spans="1:5" x14ac:dyDescent="0.25">
      <c r="A13" s="4" t="s">
        <v>145</v>
      </c>
      <c r="B13" s="4" t="s">
        <v>469</v>
      </c>
      <c r="C13" s="4" t="s">
        <v>460</v>
      </c>
      <c r="D13" s="4">
        <v>1600</v>
      </c>
      <c r="E13" s="4">
        <v>2500</v>
      </c>
    </row>
    <row r="14" spans="1:5" x14ac:dyDescent="0.25">
      <c r="A14" s="4" t="s">
        <v>81</v>
      </c>
      <c r="B14" s="4" t="s">
        <v>470</v>
      </c>
      <c r="C14" s="4" t="s">
        <v>456</v>
      </c>
      <c r="D14" s="4">
        <v>6500</v>
      </c>
      <c r="E14" s="4">
        <v>9000</v>
      </c>
    </row>
    <row r="15" spans="1:5" x14ac:dyDescent="0.25">
      <c r="A15" s="4" t="s">
        <v>162</v>
      </c>
      <c r="B15" s="4" t="s">
        <v>471</v>
      </c>
      <c r="C15" s="4" t="s">
        <v>463</v>
      </c>
      <c r="D15" s="4">
        <v>11500</v>
      </c>
      <c r="E15" s="4">
        <v>16000</v>
      </c>
    </row>
    <row r="16" spans="1:5" x14ac:dyDescent="0.25">
      <c r="A16" s="4" t="s">
        <v>49</v>
      </c>
      <c r="B16" s="4" t="s">
        <v>472</v>
      </c>
      <c r="C16" s="4" t="s">
        <v>456</v>
      </c>
      <c r="D16" s="4">
        <v>3200</v>
      </c>
      <c r="E16" s="4">
        <v>4800</v>
      </c>
    </row>
    <row r="17" spans="1:5" x14ac:dyDescent="0.25">
      <c r="A17" s="4" t="s">
        <v>53</v>
      </c>
      <c r="B17" s="4" t="s">
        <v>473</v>
      </c>
      <c r="C17" s="4" t="s">
        <v>456</v>
      </c>
      <c r="D17" s="4">
        <v>2800</v>
      </c>
      <c r="E17" s="4">
        <v>4200</v>
      </c>
    </row>
    <row r="18" spans="1:5" x14ac:dyDescent="0.25">
      <c r="A18" s="4" t="s">
        <v>85</v>
      </c>
      <c r="B18" s="4" t="s">
        <v>474</v>
      </c>
      <c r="C18" s="4" t="s">
        <v>463</v>
      </c>
      <c r="D18" s="4">
        <v>4200</v>
      </c>
      <c r="E18" s="4">
        <v>6500</v>
      </c>
    </row>
    <row r="19" spans="1:5" x14ac:dyDescent="0.25">
      <c r="A19" s="4" t="s">
        <v>33</v>
      </c>
      <c r="B19" s="4" t="s">
        <v>475</v>
      </c>
      <c r="C19" s="4" t="s">
        <v>460</v>
      </c>
      <c r="D19" s="4">
        <v>2400</v>
      </c>
      <c r="E19" s="4">
        <v>3600</v>
      </c>
    </row>
    <row r="20" spans="1:5" x14ac:dyDescent="0.25">
      <c r="A20" s="4" t="s">
        <v>121</v>
      </c>
      <c r="B20" s="4" t="s">
        <v>476</v>
      </c>
      <c r="C20" s="4" t="s">
        <v>456</v>
      </c>
      <c r="D20" s="4">
        <v>2400</v>
      </c>
      <c r="E20" s="4">
        <v>3600</v>
      </c>
    </row>
    <row r="21" spans="1:5" x14ac:dyDescent="0.25">
      <c r="A21" s="4" t="s">
        <v>57</v>
      </c>
      <c r="B21" s="4" t="s">
        <v>477</v>
      </c>
      <c r="C21" s="4" t="s">
        <v>478</v>
      </c>
      <c r="D21" s="4">
        <v>3500</v>
      </c>
      <c r="E21" s="4">
        <v>5200</v>
      </c>
    </row>
  </sheetData>
  <autoFilter ref="A1:E2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showGridLines="0" workbookViewId="0">
      <pane ySplit="1" topLeftCell="A2" activePane="bottomLeft" state="frozen"/>
      <selection activeCell="I10" sqref="I10"/>
      <selection pane="bottomLeft" activeCell="I10" sqref="I10"/>
    </sheetView>
  </sheetViews>
  <sheetFormatPr defaultRowHeight="15" x14ac:dyDescent="0.25"/>
  <cols>
    <col min="1" max="1" width="13" customWidth="1"/>
    <col min="2" max="2" width="21" customWidth="1"/>
    <col min="3" max="4" width="12" customWidth="1"/>
    <col min="5" max="5" width="16" customWidth="1"/>
    <col min="6" max="6" width="20" customWidth="1"/>
  </cols>
  <sheetData>
    <row r="1" spans="1:6" ht="24" customHeight="1" x14ac:dyDescent="0.25">
      <c r="A1" s="5" t="s">
        <v>20</v>
      </c>
      <c r="B1" s="5" t="s">
        <v>479</v>
      </c>
      <c r="C1" s="5" t="s">
        <v>480</v>
      </c>
      <c r="D1" s="5" t="s">
        <v>481</v>
      </c>
      <c r="E1" s="5" t="s">
        <v>482</v>
      </c>
      <c r="F1" s="5" t="s">
        <v>483</v>
      </c>
    </row>
    <row r="2" spans="1:6" x14ac:dyDescent="0.25">
      <c r="A2" s="4" t="s">
        <v>80</v>
      </c>
      <c r="B2" s="4" t="s">
        <v>484</v>
      </c>
      <c r="C2" s="4" t="s">
        <v>485</v>
      </c>
      <c r="D2" s="4" t="s">
        <v>486</v>
      </c>
      <c r="E2" s="4">
        <v>51000</v>
      </c>
      <c r="F2" s="4">
        <v>800000</v>
      </c>
    </row>
    <row r="3" spans="1:6" x14ac:dyDescent="0.25">
      <c r="A3" s="4" t="s">
        <v>225</v>
      </c>
      <c r="B3" s="4" t="s">
        <v>487</v>
      </c>
      <c r="C3" s="4" t="s">
        <v>485</v>
      </c>
      <c r="D3" s="4" t="s">
        <v>488</v>
      </c>
      <c r="E3" s="4">
        <v>39000</v>
      </c>
      <c r="F3" s="4">
        <v>1130000</v>
      </c>
    </row>
    <row r="4" spans="1:6" x14ac:dyDescent="0.25">
      <c r="A4" s="4" t="s">
        <v>489</v>
      </c>
      <c r="B4" s="4" t="s">
        <v>490</v>
      </c>
      <c r="C4" s="4" t="s">
        <v>485</v>
      </c>
      <c r="D4" s="4" t="s">
        <v>491</v>
      </c>
      <c r="E4" s="4">
        <v>32000</v>
      </c>
      <c r="F4" s="4">
        <v>1040000</v>
      </c>
    </row>
    <row r="5" spans="1:6" x14ac:dyDescent="0.25">
      <c r="A5" s="4" t="s">
        <v>51</v>
      </c>
      <c r="B5" s="4" t="s">
        <v>492</v>
      </c>
      <c r="C5" s="4" t="s">
        <v>485</v>
      </c>
      <c r="D5" s="4" t="s">
        <v>486</v>
      </c>
      <c r="E5" s="4">
        <v>44500</v>
      </c>
      <c r="F5" s="4">
        <v>720000</v>
      </c>
    </row>
    <row r="6" spans="1:6" x14ac:dyDescent="0.25">
      <c r="A6" s="4" t="s">
        <v>147</v>
      </c>
      <c r="B6" s="4" t="s">
        <v>493</v>
      </c>
      <c r="C6" s="4" t="s">
        <v>485</v>
      </c>
      <c r="D6" s="4" t="s">
        <v>486</v>
      </c>
      <c r="E6" s="4">
        <v>31500</v>
      </c>
      <c r="F6" s="4">
        <v>1060000</v>
      </c>
    </row>
    <row r="7" spans="1:6" x14ac:dyDescent="0.25">
      <c r="A7" s="4" t="s">
        <v>359</v>
      </c>
      <c r="B7" s="4" t="s">
        <v>494</v>
      </c>
      <c r="C7" s="4" t="s">
        <v>485</v>
      </c>
      <c r="D7" s="4" t="s">
        <v>486</v>
      </c>
      <c r="E7" s="4">
        <v>37500</v>
      </c>
      <c r="F7" s="4">
        <v>720000</v>
      </c>
    </row>
    <row r="8" spans="1:6" x14ac:dyDescent="0.25">
      <c r="A8" s="4" t="s">
        <v>326</v>
      </c>
      <c r="B8" s="4" t="s">
        <v>495</v>
      </c>
      <c r="C8" s="4" t="s">
        <v>485</v>
      </c>
      <c r="D8" s="4" t="s">
        <v>488</v>
      </c>
      <c r="E8" s="4">
        <v>34000</v>
      </c>
      <c r="F8" s="4">
        <v>1200000</v>
      </c>
    </row>
    <row r="9" spans="1:6" x14ac:dyDescent="0.25">
      <c r="A9" s="4" t="s">
        <v>218</v>
      </c>
      <c r="B9" s="4" t="s">
        <v>496</v>
      </c>
      <c r="C9" s="4" t="s">
        <v>485</v>
      </c>
      <c r="D9" s="4" t="s">
        <v>491</v>
      </c>
      <c r="E9" s="4">
        <v>51000</v>
      </c>
      <c r="F9" s="4">
        <v>1130000</v>
      </c>
    </row>
    <row r="10" spans="1:6" x14ac:dyDescent="0.25">
      <c r="A10" s="4" t="s">
        <v>76</v>
      </c>
      <c r="B10" s="4" t="s">
        <v>497</v>
      </c>
      <c r="C10" s="4" t="s">
        <v>485</v>
      </c>
      <c r="D10" s="4" t="s">
        <v>486</v>
      </c>
      <c r="E10" s="4">
        <v>46000</v>
      </c>
      <c r="F10" s="4">
        <v>820000</v>
      </c>
    </row>
    <row r="11" spans="1:6" x14ac:dyDescent="0.25">
      <c r="A11" s="4" t="s">
        <v>65</v>
      </c>
      <c r="B11" s="4" t="s">
        <v>498</v>
      </c>
      <c r="C11" s="4" t="s">
        <v>485</v>
      </c>
      <c r="D11" s="4" t="s">
        <v>488</v>
      </c>
      <c r="E11" s="4">
        <v>30500</v>
      </c>
      <c r="F11" s="4">
        <v>1100000</v>
      </c>
    </row>
    <row r="12" spans="1:6" x14ac:dyDescent="0.25">
      <c r="A12" s="4" t="s">
        <v>184</v>
      </c>
      <c r="B12" s="4" t="s">
        <v>499</v>
      </c>
      <c r="C12" s="4" t="s">
        <v>485</v>
      </c>
      <c r="D12" s="4" t="s">
        <v>488</v>
      </c>
      <c r="E12" s="4">
        <v>28500</v>
      </c>
      <c r="F12" s="4">
        <v>1120000</v>
      </c>
    </row>
    <row r="13" spans="1:6" x14ac:dyDescent="0.25">
      <c r="A13" s="4" t="s">
        <v>93</v>
      </c>
      <c r="B13" s="4" t="s">
        <v>500</v>
      </c>
      <c r="C13" s="4" t="s">
        <v>485</v>
      </c>
      <c r="D13" s="4" t="s">
        <v>486</v>
      </c>
      <c r="E13" s="4">
        <v>31000</v>
      </c>
      <c r="F13" s="4">
        <v>1110000</v>
      </c>
    </row>
    <row r="14" spans="1:6" x14ac:dyDescent="0.25">
      <c r="A14" s="4" t="s">
        <v>160</v>
      </c>
      <c r="B14" s="4" t="s">
        <v>501</v>
      </c>
      <c r="C14" s="4" t="s">
        <v>485</v>
      </c>
      <c r="D14" s="4" t="s">
        <v>488</v>
      </c>
      <c r="E14" s="4">
        <v>44500</v>
      </c>
      <c r="F14" s="4">
        <v>1170000</v>
      </c>
    </row>
    <row r="15" spans="1:6" x14ac:dyDescent="0.25">
      <c r="A15" s="4" t="s">
        <v>312</v>
      </c>
      <c r="B15" s="4" t="s">
        <v>502</v>
      </c>
      <c r="C15" s="4" t="s">
        <v>485</v>
      </c>
      <c r="D15" s="4" t="s">
        <v>488</v>
      </c>
      <c r="E15" s="4">
        <v>42000</v>
      </c>
      <c r="F15" s="4">
        <v>830000</v>
      </c>
    </row>
    <row r="16" spans="1:6" x14ac:dyDescent="0.25">
      <c r="A16" s="4" t="s">
        <v>221</v>
      </c>
      <c r="B16" s="4" t="s">
        <v>503</v>
      </c>
      <c r="C16" s="4" t="s">
        <v>485</v>
      </c>
      <c r="D16" s="4" t="s">
        <v>491</v>
      </c>
      <c r="E16" s="4">
        <v>28500</v>
      </c>
      <c r="F16" s="4">
        <v>730000</v>
      </c>
    </row>
    <row r="17" spans="1:6" x14ac:dyDescent="0.25">
      <c r="A17" s="4" t="s">
        <v>60</v>
      </c>
      <c r="B17" s="4" t="s">
        <v>504</v>
      </c>
      <c r="C17" s="4" t="s">
        <v>485</v>
      </c>
      <c r="D17" s="4" t="s">
        <v>486</v>
      </c>
      <c r="E17" s="4">
        <v>38500</v>
      </c>
      <c r="F17" s="4">
        <v>760000</v>
      </c>
    </row>
    <row r="18" spans="1:6" x14ac:dyDescent="0.25">
      <c r="A18" s="4" t="s">
        <v>299</v>
      </c>
      <c r="B18" s="4" t="s">
        <v>505</v>
      </c>
      <c r="C18" s="4" t="s">
        <v>485</v>
      </c>
      <c r="D18" s="4" t="s">
        <v>488</v>
      </c>
      <c r="E18" s="4">
        <v>31000</v>
      </c>
      <c r="F18" s="4">
        <v>1170000</v>
      </c>
    </row>
    <row r="19" spans="1:6" x14ac:dyDescent="0.25">
      <c r="A19" s="4" t="s">
        <v>265</v>
      </c>
      <c r="B19" s="4" t="s">
        <v>506</v>
      </c>
      <c r="C19" s="4" t="s">
        <v>485</v>
      </c>
      <c r="D19" s="4" t="s">
        <v>491</v>
      </c>
      <c r="E19" s="4">
        <v>32000</v>
      </c>
      <c r="F19" s="4">
        <v>990000</v>
      </c>
    </row>
    <row r="20" spans="1:6" x14ac:dyDescent="0.25">
      <c r="A20" s="4" t="s">
        <v>355</v>
      </c>
      <c r="B20" s="4" t="s">
        <v>507</v>
      </c>
      <c r="C20" s="4" t="s">
        <v>485</v>
      </c>
      <c r="D20" s="4" t="s">
        <v>491</v>
      </c>
      <c r="E20" s="4">
        <v>37500</v>
      </c>
      <c r="F20" s="4">
        <v>710000</v>
      </c>
    </row>
    <row r="21" spans="1:6" x14ac:dyDescent="0.25">
      <c r="A21" s="4" t="s">
        <v>243</v>
      </c>
      <c r="B21" s="4" t="s">
        <v>508</v>
      </c>
      <c r="C21" s="4" t="s">
        <v>485</v>
      </c>
      <c r="D21" s="4" t="s">
        <v>488</v>
      </c>
      <c r="E21" s="4">
        <v>38000</v>
      </c>
      <c r="F21" s="4">
        <v>880000</v>
      </c>
    </row>
    <row r="22" spans="1:6" x14ac:dyDescent="0.25">
      <c r="A22" s="4" t="s">
        <v>111</v>
      </c>
      <c r="B22" s="4" t="s">
        <v>509</v>
      </c>
      <c r="C22" s="4" t="s">
        <v>485</v>
      </c>
      <c r="D22" s="4" t="s">
        <v>488</v>
      </c>
      <c r="E22" s="4">
        <v>34500</v>
      </c>
      <c r="F22" s="4">
        <v>920000</v>
      </c>
    </row>
    <row r="23" spans="1:6" x14ac:dyDescent="0.25">
      <c r="A23" s="4" t="s">
        <v>168</v>
      </c>
      <c r="B23" s="4" t="s">
        <v>510</v>
      </c>
      <c r="C23" s="4" t="s">
        <v>485</v>
      </c>
      <c r="D23" s="4" t="s">
        <v>488</v>
      </c>
      <c r="E23" s="4">
        <v>29000</v>
      </c>
      <c r="F23" s="4">
        <v>1010000</v>
      </c>
    </row>
    <row r="24" spans="1:6" x14ac:dyDescent="0.25">
      <c r="A24" s="4" t="s">
        <v>511</v>
      </c>
      <c r="B24" s="4" t="s">
        <v>512</v>
      </c>
      <c r="C24" s="4" t="s">
        <v>485</v>
      </c>
      <c r="D24" s="4" t="s">
        <v>491</v>
      </c>
      <c r="E24" s="4">
        <v>43500</v>
      </c>
      <c r="F24" s="4">
        <v>950000</v>
      </c>
    </row>
    <row r="25" spans="1:6" x14ac:dyDescent="0.25">
      <c r="A25" s="4" t="s">
        <v>197</v>
      </c>
      <c r="B25" s="4" t="s">
        <v>513</v>
      </c>
      <c r="C25" s="4" t="s">
        <v>485</v>
      </c>
      <c r="D25" s="4" t="s">
        <v>486</v>
      </c>
      <c r="E25" s="4">
        <v>39500</v>
      </c>
      <c r="F25" s="4">
        <v>740000</v>
      </c>
    </row>
    <row r="26" spans="1:6" x14ac:dyDescent="0.25">
      <c r="A26" s="4" t="s">
        <v>211</v>
      </c>
      <c r="B26" s="4" t="s">
        <v>514</v>
      </c>
      <c r="C26" s="4" t="s">
        <v>485</v>
      </c>
      <c r="D26" s="4" t="s">
        <v>491</v>
      </c>
      <c r="E26" s="4">
        <v>31500</v>
      </c>
      <c r="F26" s="4">
        <v>800000</v>
      </c>
    </row>
    <row r="27" spans="1:6" x14ac:dyDescent="0.25">
      <c r="A27" s="4" t="s">
        <v>515</v>
      </c>
      <c r="B27" s="4" t="s">
        <v>516</v>
      </c>
      <c r="C27" s="4" t="s">
        <v>485</v>
      </c>
      <c r="D27" s="4" t="s">
        <v>491</v>
      </c>
      <c r="E27" s="4">
        <v>34000</v>
      </c>
      <c r="F27" s="4">
        <v>1200000</v>
      </c>
    </row>
    <row r="28" spans="1:6" x14ac:dyDescent="0.25">
      <c r="A28" s="4" t="s">
        <v>336</v>
      </c>
      <c r="B28" s="4" t="s">
        <v>517</v>
      </c>
      <c r="C28" s="4" t="s">
        <v>485</v>
      </c>
      <c r="D28" s="4" t="s">
        <v>491</v>
      </c>
      <c r="E28" s="4">
        <v>47000</v>
      </c>
      <c r="F28" s="4">
        <v>1190000</v>
      </c>
    </row>
    <row r="29" spans="1:6" x14ac:dyDescent="0.25">
      <c r="A29" s="4" t="s">
        <v>73</v>
      </c>
      <c r="B29" s="4" t="s">
        <v>518</v>
      </c>
      <c r="C29" s="4" t="s">
        <v>485</v>
      </c>
      <c r="D29" s="4" t="s">
        <v>486</v>
      </c>
      <c r="E29" s="4">
        <v>36500</v>
      </c>
      <c r="F29" s="4">
        <v>970000</v>
      </c>
    </row>
    <row r="30" spans="1:6" x14ac:dyDescent="0.25">
      <c r="A30" s="4" t="s">
        <v>274</v>
      </c>
      <c r="B30" s="4" t="s">
        <v>519</v>
      </c>
      <c r="C30" s="4" t="s">
        <v>520</v>
      </c>
      <c r="D30" s="4" t="s">
        <v>486</v>
      </c>
      <c r="E30" s="4">
        <v>37000</v>
      </c>
      <c r="F30" s="4">
        <v>1080000</v>
      </c>
    </row>
    <row r="31" spans="1:6" x14ac:dyDescent="0.25">
      <c r="A31" s="4" t="s">
        <v>287</v>
      </c>
      <c r="B31" s="4" t="s">
        <v>521</v>
      </c>
      <c r="C31" s="4" t="s">
        <v>520</v>
      </c>
      <c r="D31" s="4" t="s">
        <v>486</v>
      </c>
      <c r="E31" s="4">
        <v>38000</v>
      </c>
      <c r="F31" s="4">
        <v>890000</v>
      </c>
    </row>
    <row r="32" spans="1:6" x14ac:dyDescent="0.25">
      <c r="A32" s="4" t="s">
        <v>364</v>
      </c>
      <c r="B32" s="4" t="s">
        <v>522</v>
      </c>
      <c r="C32" s="4" t="s">
        <v>520</v>
      </c>
      <c r="D32" s="4" t="s">
        <v>486</v>
      </c>
      <c r="E32" s="4">
        <v>42000</v>
      </c>
      <c r="F32" s="4">
        <v>810000</v>
      </c>
    </row>
    <row r="33" spans="1:6" x14ac:dyDescent="0.25">
      <c r="A33" s="4" t="s">
        <v>83</v>
      </c>
      <c r="B33" s="4" t="s">
        <v>523</v>
      </c>
      <c r="C33" s="4" t="s">
        <v>520</v>
      </c>
      <c r="D33" s="4" t="s">
        <v>491</v>
      </c>
      <c r="E33" s="4">
        <v>31000</v>
      </c>
      <c r="F33" s="4">
        <v>1300000</v>
      </c>
    </row>
    <row r="34" spans="1:6" x14ac:dyDescent="0.25">
      <c r="A34" s="4" t="s">
        <v>524</v>
      </c>
      <c r="B34" s="4" t="s">
        <v>525</v>
      </c>
      <c r="C34" s="4" t="s">
        <v>520</v>
      </c>
      <c r="D34" s="4" t="s">
        <v>488</v>
      </c>
      <c r="E34" s="4">
        <v>37000</v>
      </c>
      <c r="F34" s="4">
        <v>1090000</v>
      </c>
    </row>
    <row r="35" spans="1:6" x14ac:dyDescent="0.25">
      <c r="A35" s="4" t="s">
        <v>207</v>
      </c>
      <c r="B35" s="4" t="s">
        <v>526</v>
      </c>
      <c r="C35" s="4" t="s">
        <v>520</v>
      </c>
      <c r="D35" s="4" t="s">
        <v>491</v>
      </c>
      <c r="E35" s="4">
        <v>49500</v>
      </c>
      <c r="F35" s="4">
        <v>850000</v>
      </c>
    </row>
    <row r="36" spans="1:6" x14ac:dyDescent="0.25">
      <c r="A36" s="4" t="s">
        <v>223</v>
      </c>
      <c r="B36" s="4" t="s">
        <v>527</v>
      </c>
      <c r="C36" s="4" t="s">
        <v>520</v>
      </c>
      <c r="D36" s="4" t="s">
        <v>491</v>
      </c>
      <c r="E36" s="4">
        <v>35000</v>
      </c>
      <c r="F36" s="4">
        <v>1070000</v>
      </c>
    </row>
    <row r="37" spans="1:6" x14ac:dyDescent="0.25">
      <c r="A37" s="4" t="s">
        <v>290</v>
      </c>
      <c r="B37" s="4" t="s">
        <v>528</v>
      </c>
      <c r="C37" s="4" t="s">
        <v>520</v>
      </c>
      <c r="D37" s="4" t="s">
        <v>488</v>
      </c>
      <c r="E37" s="4">
        <v>31000</v>
      </c>
      <c r="F37" s="4">
        <v>1300000</v>
      </c>
    </row>
    <row r="38" spans="1:6" x14ac:dyDescent="0.25">
      <c r="A38" s="4" t="s">
        <v>106</v>
      </c>
      <c r="B38" s="4" t="s">
        <v>529</v>
      </c>
      <c r="C38" s="4" t="s">
        <v>520</v>
      </c>
      <c r="D38" s="4" t="s">
        <v>486</v>
      </c>
      <c r="E38" s="4">
        <v>41500</v>
      </c>
      <c r="F38" s="4">
        <v>1290000</v>
      </c>
    </row>
    <row r="39" spans="1:6" x14ac:dyDescent="0.25">
      <c r="A39" s="4" t="s">
        <v>530</v>
      </c>
      <c r="B39" s="4" t="s">
        <v>531</v>
      </c>
      <c r="C39" s="4" t="s">
        <v>520</v>
      </c>
      <c r="D39" s="4" t="s">
        <v>488</v>
      </c>
      <c r="E39" s="4">
        <v>37000</v>
      </c>
      <c r="F39" s="4">
        <v>1220000</v>
      </c>
    </row>
    <row r="40" spans="1:6" x14ac:dyDescent="0.25">
      <c r="A40" s="4" t="s">
        <v>254</v>
      </c>
      <c r="B40" s="4" t="s">
        <v>532</v>
      </c>
      <c r="C40" s="4" t="s">
        <v>520</v>
      </c>
      <c r="D40" s="4" t="s">
        <v>491</v>
      </c>
      <c r="E40" s="4">
        <v>33500</v>
      </c>
      <c r="F40" s="4">
        <v>1100000</v>
      </c>
    </row>
    <row r="41" spans="1:6" x14ac:dyDescent="0.25">
      <c r="A41" s="4" t="s">
        <v>189</v>
      </c>
      <c r="B41" s="4" t="s">
        <v>533</v>
      </c>
      <c r="C41" s="4" t="s">
        <v>520</v>
      </c>
      <c r="D41" s="4" t="s">
        <v>488</v>
      </c>
      <c r="E41" s="4">
        <v>44000</v>
      </c>
      <c r="F41" s="4">
        <v>1260000</v>
      </c>
    </row>
    <row r="42" spans="1:6" x14ac:dyDescent="0.25">
      <c r="A42" s="4" t="s">
        <v>41</v>
      </c>
      <c r="B42" s="4" t="s">
        <v>534</v>
      </c>
      <c r="C42" s="4" t="s">
        <v>535</v>
      </c>
      <c r="D42" s="4" t="s">
        <v>491</v>
      </c>
      <c r="E42" s="4">
        <v>56000</v>
      </c>
      <c r="F42" s="4">
        <v>740000</v>
      </c>
    </row>
    <row r="43" spans="1:6" x14ac:dyDescent="0.25">
      <c r="A43" s="4" t="s">
        <v>367</v>
      </c>
      <c r="B43" s="4" t="s">
        <v>536</v>
      </c>
      <c r="C43" s="4" t="s">
        <v>535</v>
      </c>
      <c r="D43" s="4" t="s">
        <v>488</v>
      </c>
      <c r="E43" s="4">
        <v>52000</v>
      </c>
      <c r="F43" s="4">
        <v>830000</v>
      </c>
    </row>
    <row r="44" spans="1:6" x14ac:dyDescent="0.25">
      <c r="A44" s="4" t="s">
        <v>307</v>
      </c>
      <c r="B44" s="4" t="s">
        <v>537</v>
      </c>
      <c r="C44" s="4" t="s">
        <v>535</v>
      </c>
      <c r="D44" s="4" t="s">
        <v>486</v>
      </c>
      <c r="E44" s="4">
        <v>60000</v>
      </c>
      <c r="F44" s="4">
        <v>920000</v>
      </c>
    </row>
    <row r="45" spans="1:6" x14ac:dyDescent="0.25">
      <c r="A45" s="4" t="s">
        <v>114</v>
      </c>
      <c r="B45" s="4" t="s">
        <v>538</v>
      </c>
      <c r="C45" s="4" t="s">
        <v>535</v>
      </c>
      <c r="D45" s="4" t="s">
        <v>488</v>
      </c>
      <c r="E45" s="4">
        <v>51500</v>
      </c>
      <c r="F45" s="4">
        <v>670000</v>
      </c>
    </row>
    <row r="46" spans="1:6" x14ac:dyDescent="0.25">
      <c r="A46" s="4" t="s">
        <v>130</v>
      </c>
      <c r="B46" s="4" t="s">
        <v>539</v>
      </c>
      <c r="C46" s="4" t="s">
        <v>535</v>
      </c>
      <c r="D46" s="4" t="s">
        <v>488</v>
      </c>
      <c r="E46" s="4">
        <v>37500</v>
      </c>
      <c r="F46" s="4">
        <v>690000</v>
      </c>
    </row>
    <row r="47" spans="1:6" x14ac:dyDescent="0.25">
      <c r="A47" s="4" t="s">
        <v>141</v>
      </c>
      <c r="B47" s="4" t="s">
        <v>540</v>
      </c>
      <c r="C47" s="4" t="s">
        <v>535</v>
      </c>
      <c r="D47" s="4" t="s">
        <v>486</v>
      </c>
      <c r="E47" s="4">
        <v>35500</v>
      </c>
      <c r="F47" s="4">
        <v>790000</v>
      </c>
    </row>
    <row r="48" spans="1:6" x14ac:dyDescent="0.25">
      <c r="A48" s="4" t="s">
        <v>181</v>
      </c>
      <c r="B48" s="4" t="s">
        <v>541</v>
      </c>
      <c r="C48" s="4" t="s">
        <v>535</v>
      </c>
      <c r="D48" s="4" t="s">
        <v>488</v>
      </c>
      <c r="E48" s="4">
        <v>62500</v>
      </c>
      <c r="F48" s="4">
        <v>680000</v>
      </c>
    </row>
    <row r="49" spans="1:6" x14ac:dyDescent="0.25">
      <c r="A49" s="4" t="s">
        <v>127</v>
      </c>
      <c r="B49" s="4" t="s">
        <v>542</v>
      </c>
      <c r="C49" s="4" t="s">
        <v>535</v>
      </c>
      <c r="D49" s="4" t="s">
        <v>486</v>
      </c>
      <c r="E49" s="4">
        <v>45000</v>
      </c>
      <c r="F49" s="4">
        <v>670000</v>
      </c>
    </row>
    <row r="50" spans="1:6" x14ac:dyDescent="0.25">
      <c r="A50" s="4" t="s">
        <v>345</v>
      </c>
      <c r="B50" s="4" t="s">
        <v>543</v>
      </c>
      <c r="C50" s="4" t="s">
        <v>535</v>
      </c>
      <c r="D50" s="4" t="s">
        <v>491</v>
      </c>
      <c r="E50" s="4">
        <v>37000</v>
      </c>
      <c r="F50" s="4">
        <v>660000</v>
      </c>
    </row>
    <row r="51" spans="1:6" x14ac:dyDescent="0.25">
      <c r="A51" s="4" t="s">
        <v>544</v>
      </c>
      <c r="B51" s="4" t="s">
        <v>545</v>
      </c>
      <c r="C51" s="4" t="s">
        <v>535</v>
      </c>
      <c r="D51" s="4" t="s">
        <v>491</v>
      </c>
      <c r="E51" s="4">
        <v>62500</v>
      </c>
      <c r="F51" s="4">
        <v>910000</v>
      </c>
    </row>
    <row r="52" spans="1:6" x14ac:dyDescent="0.25">
      <c r="A52" s="4" t="s">
        <v>154</v>
      </c>
      <c r="B52" s="4" t="s">
        <v>546</v>
      </c>
      <c r="C52" s="4" t="s">
        <v>547</v>
      </c>
      <c r="D52" s="4" t="s">
        <v>486</v>
      </c>
      <c r="E52" s="4">
        <v>44500</v>
      </c>
      <c r="F52" s="4">
        <v>840000</v>
      </c>
    </row>
    <row r="53" spans="1:6" x14ac:dyDescent="0.25">
      <c r="A53" s="4" t="s">
        <v>548</v>
      </c>
      <c r="B53" s="4" t="s">
        <v>549</v>
      </c>
      <c r="C53" s="4" t="s">
        <v>547</v>
      </c>
      <c r="D53" s="4" t="s">
        <v>491</v>
      </c>
      <c r="E53" s="4">
        <v>41500</v>
      </c>
      <c r="F53" s="4">
        <v>730000</v>
      </c>
    </row>
    <row r="54" spans="1:6" x14ac:dyDescent="0.25">
      <c r="A54" s="4" t="s">
        <v>550</v>
      </c>
      <c r="B54" s="4" t="s">
        <v>551</v>
      </c>
      <c r="C54" s="4" t="s">
        <v>547</v>
      </c>
      <c r="D54" s="4" t="s">
        <v>488</v>
      </c>
      <c r="E54" s="4">
        <v>30000</v>
      </c>
      <c r="F54" s="4">
        <v>610000</v>
      </c>
    </row>
    <row r="55" spans="1:6" x14ac:dyDescent="0.25">
      <c r="A55" s="4" t="s">
        <v>233</v>
      </c>
      <c r="B55" s="4" t="s">
        <v>552</v>
      </c>
      <c r="C55" s="4" t="s">
        <v>547</v>
      </c>
      <c r="D55" s="4" t="s">
        <v>486</v>
      </c>
      <c r="E55" s="4">
        <v>46500</v>
      </c>
      <c r="F55" s="4">
        <v>760000</v>
      </c>
    </row>
    <row r="56" spans="1:6" x14ac:dyDescent="0.25">
      <c r="A56" s="4" t="s">
        <v>139</v>
      </c>
      <c r="B56" s="4" t="s">
        <v>553</v>
      </c>
      <c r="C56" s="4" t="s">
        <v>547</v>
      </c>
      <c r="D56" s="4" t="s">
        <v>491</v>
      </c>
      <c r="E56" s="4">
        <v>43000</v>
      </c>
      <c r="F56" s="4">
        <v>840000</v>
      </c>
    </row>
    <row r="57" spans="1:6" x14ac:dyDescent="0.25">
      <c r="A57" s="4" t="s">
        <v>213</v>
      </c>
      <c r="B57" s="4" t="s">
        <v>554</v>
      </c>
      <c r="C57" s="4" t="s">
        <v>547</v>
      </c>
      <c r="D57" s="4" t="s">
        <v>491</v>
      </c>
      <c r="E57" s="4">
        <v>34000</v>
      </c>
      <c r="F57" s="4">
        <v>750000</v>
      </c>
    </row>
    <row r="58" spans="1:6" x14ac:dyDescent="0.25">
      <c r="A58" s="4" t="s">
        <v>278</v>
      </c>
      <c r="B58" s="4" t="s">
        <v>555</v>
      </c>
      <c r="C58" s="4" t="s">
        <v>547</v>
      </c>
      <c r="D58" s="4" t="s">
        <v>486</v>
      </c>
      <c r="E58" s="4">
        <v>41000</v>
      </c>
      <c r="F58" s="4">
        <v>830000</v>
      </c>
    </row>
    <row r="59" spans="1:6" x14ac:dyDescent="0.25">
      <c r="A59" s="4" t="s">
        <v>334</v>
      </c>
      <c r="B59" s="4" t="s">
        <v>556</v>
      </c>
      <c r="C59" s="4" t="s">
        <v>547</v>
      </c>
      <c r="D59" s="4" t="s">
        <v>488</v>
      </c>
      <c r="E59" s="4">
        <v>32000</v>
      </c>
      <c r="F59" s="4">
        <v>710000</v>
      </c>
    </row>
    <row r="60" spans="1:6" x14ac:dyDescent="0.25">
      <c r="A60" s="4" t="s">
        <v>135</v>
      </c>
      <c r="B60" s="4" t="s">
        <v>557</v>
      </c>
      <c r="C60" s="4" t="s">
        <v>478</v>
      </c>
      <c r="D60" s="4" t="s">
        <v>486</v>
      </c>
      <c r="E60" s="4">
        <v>37500</v>
      </c>
      <c r="F60" s="4">
        <v>910000</v>
      </c>
    </row>
    <row r="61" spans="1:6" x14ac:dyDescent="0.25">
      <c r="A61" s="4" t="s">
        <v>170</v>
      </c>
      <c r="B61" s="4" t="s">
        <v>558</v>
      </c>
      <c r="C61" s="4" t="s">
        <v>478</v>
      </c>
      <c r="D61" s="4" t="s">
        <v>491</v>
      </c>
      <c r="E61" s="4">
        <v>32500</v>
      </c>
      <c r="F61" s="4">
        <v>910000</v>
      </c>
    </row>
    <row r="62" spans="1:6" x14ac:dyDescent="0.25">
      <c r="A62" s="4" t="s">
        <v>230</v>
      </c>
      <c r="B62" s="4" t="s">
        <v>559</v>
      </c>
      <c r="C62" s="4" t="s">
        <v>478</v>
      </c>
      <c r="D62" s="4" t="s">
        <v>491</v>
      </c>
      <c r="E62" s="4">
        <v>49000</v>
      </c>
      <c r="F62" s="4">
        <v>790000</v>
      </c>
    </row>
    <row r="63" spans="1:6" x14ac:dyDescent="0.25">
      <c r="A63" s="4" t="s">
        <v>560</v>
      </c>
      <c r="B63" s="4" t="s">
        <v>561</v>
      </c>
      <c r="C63" s="4" t="s">
        <v>478</v>
      </c>
      <c r="D63" s="4" t="s">
        <v>491</v>
      </c>
      <c r="E63" s="4">
        <v>30500</v>
      </c>
      <c r="F63" s="4">
        <v>860000</v>
      </c>
    </row>
    <row r="64" spans="1:6" x14ac:dyDescent="0.25">
      <c r="A64" s="4" t="s">
        <v>201</v>
      </c>
      <c r="B64" s="4" t="s">
        <v>562</v>
      </c>
      <c r="C64" s="4" t="s">
        <v>478</v>
      </c>
      <c r="D64" s="4" t="s">
        <v>486</v>
      </c>
      <c r="E64" s="4">
        <v>34500</v>
      </c>
      <c r="F64" s="4">
        <v>850000</v>
      </c>
    </row>
    <row r="65" spans="1:6" x14ac:dyDescent="0.25">
      <c r="A65" s="4" t="s">
        <v>205</v>
      </c>
      <c r="B65" s="4" t="s">
        <v>563</v>
      </c>
      <c r="C65" s="4" t="s">
        <v>478</v>
      </c>
      <c r="D65" s="4" t="s">
        <v>488</v>
      </c>
      <c r="E65" s="4">
        <v>33000</v>
      </c>
      <c r="F65" s="4">
        <v>910000</v>
      </c>
    </row>
    <row r="66" spans="1:6" x14ac:dyDescent="0.25">
      <c r="A66" s="4" t="s">
        <v>564</v>
      </c>
      <c r="B66" s="4" t="s">
        <v>565</v>
      </c>
      <c r="C66" s="4" t="s">
        <v>478</v>
      </c>
      <c r="D66" s="4" t="s">
        <v>491</v>
      </c>
      <c r="E66" s="4">
        <v>37000</v>
      </c>
      <c r="F66" s="4">
        <v>760000</v>
      </c>
    </row>
    <row r="67" spans="1:6" x14ac:dyDescent="0.25">
      <c r="A67" s="4" t="s">
        <v>119</v>
      </c>
      <c r="B67" s="4" t="s">
        <v>566</v>
      </c>
      <c r="C67" s="4" t="s">
        <v>478</v>
      </c>
      <c r="D67" s="4" t="s">
        <v>491</v>
      </c>
      <c r="E67" s="4">
        <v>47500</v>
      </c>
      <c r="F67" s="4">
        <v>680000</v>
      </c>
    </row>
    <row r="68" spans="1:6" x14ac:dyDescent="0.25">
      <c r="A68" s="4" t="s">
        <v>191</v>
      </c>
      <c r="B68" s="4" t="s">
        <v>567</v>
      </c>
      <c r="C68" s="4" t="s">
        <v>478</v>
      </c>
      <c r="D68" s="4" t="s">
        <v>486</v>
      </c>
      <c r="E68" s="4">
        <v>43500</v>
      </c>
      <c r="F68" s="4">
        <v>910000</v>
      </c>
    </row>
    <row r="69" spans="1:6" x14ac:dyDescent="0.25">
      <c r="A69" s="4" t="s">
        <v>239</v>
      </c>
      <c r="B69" s="4" t="s">
        <v>568</v>
      </c>
      <c r="C69" s="4" t="s">
        <v>478</v>
      </c>
      <c r="D69" s="4" t="s">
        <v>488</v>
      </c>
      <c r="E69" s="4">
        <v>39000</v>
      </c>
      <c r="F69" s="4">
        <v>740000</v>
      </c>
    </row>
    <row r="70" spans="1:6" x14ac:dyDescent="0.25">
      <c r="A70" s="4" t="s">
        <v>31</v>
      </c>
      <c r="B70" s="4" t="s">
        <v>569</v>
      </c>
      <c r="C70" s="4" t="s">
        <v>478</v>
      </c>
      <c r="D70" s="4" t="s">
        <v>488</v>
      </c>
      <c r="E70" s="4">
        <v>44000</v>
      </c>
      <c r="F70" s="4">
        <v>770000</v>
      </c>
    </row>
    <row r="71" spans="1:6" x14ac:dyDescent="0.25">
      <c r="A71" s="4" t="s">
        <v>177</v>
      </c>
      <c r="B71" s="4" t="s">
        <v>570</v>
      </c>
      <c r="C71" s="4" t="s">
        <v>478</v>
      </c>
      <c r="D71" s="4" t="s">
        <v>486</v>
      </c>
      <c r="E71" s="4">
        <v>44500</v>
      </c>
      <c r="F71" s="4">
        <v>670000</v>
      </c>
    </row>
    <row r="72" spans="1:6" x14ac:dyDescent="0.25">
      <c r="A72" s="4" t="s">
        <v>281</v>
      </c>
      <c r="B72" s="4" t="s">
        <v>571</v>
      </c>
      <c r="C72" s="4" t="s">
        <v>478</v>
      </c>
      <c r="D72" s="4" t="s">
        <v>486</v>
      </c>
      <c r="E72" s="4">
        <v>44500</v>
      </c>
      <c r="F72" s="4">
        <v>990000</v>
      </c>
    </row>
    <row r="73" spans="1:6" x14ac:dyDescent="0.25">
      <c r="A73" s="4" t="s">
        <v>572</v>
      </c>
      <c r="B73" s="4" t="s">
        <v>573</v>
      </c>
      <c r="C73" s="4" t="s">
        <v>478</v>
      </c>
      <c r="D73" s="4" t="s">
        <v>491</v>
      </c>
      <c r="E73" s="4">
        <v>40000</v>
      </c>
      <c r="F73" s="4">
        <v>780000</v>
      </c>
    </row>
    <row r="74" spans="1:6" x14ac:dyDescent="0.25">
      <c r="A74" s="4" t="s">
        <v>104</v>
      </c>
      <c r="B74" s="4" t="s">
        <v>574</v>
      </c>
      <c r="C74" s="4" t="s">
        <v>478</v>
      </c>
      <c r="D74" s="4" t="s">
        <v>491</v>
      </c>
      <c r="E74" s="4">
        <v>37500</v>
      </c>
      <c r="F74" s="4">
        <v>940000</v>
      </c>
    </row>
    <row r="75" spans="1:6" x14ac:dyDescent="0.25">
      <c r="A75" s="4" t="s">
        <v>124</v>
      </c>
      <c r="B75" s="4" t="s">
        <v>575</v>
      </c>
      <c r="C75" s="4" t="s">
        <v>478</v>
      </c>
      <c r="D75" s="4" t="s">
        <v>488</v>
      </c>
      <c r="E75" s="4">
        <v>43000</v>
      </c>
      <c r="F75" s="4">
        <v>890000</v>
      </c>
    </row>
    <row r="76" spans="1:6" x14ac:dyDescent="0.25">
      <c r="A76" s="4" t="s">
        <v>322</v>
      </c>
      <c r="B76" s="4" t="s">
        <v>576</v>
      </c>
      <c r="C76" s="4" t="s">
        <v>478</v>
      </c>
      <c r="D76" s="4" t="s">
        <v>488</v>
      </c>
      <c r="E76" s="4">
        <v>39000</v>
      </c>
      <c r="F76" s="4">
        <v>930000</v>
      </c>
    </row>
    <row r="77" spans="1:6" x14ac:dyDescent="0.25">
      <c r="A77" s="4" t="s">
        <v>132</v>
      </c>
      <c r="B77" s="4" t="s">
        <v>577</v>
      </c>
      <c r="C77" s="4" t="s">
        <v>478</v>
      </c>
      <c r="D77" s="4" t="s">
        <v>488</v>
      </c>
      <c r="E77" s="4">
        <v>36000</v>
      </c>
      <c r="F77" s="4">
        <v>760000</v>
      </c>
    </row>
    <row r="78" spans="1:6" x14ac:dyDescent="0.25">
      <c r="A78" s="4" t="s">
        <v>173</v>
      </c>
      <c r="B78" s="4" t="s">
        <v>578</v>
      </c>
      <c r="C78" s="4" t="s">
        <v>579</v>
      </c>
      <c r="D78" s="4" t="s">
        <v>486</v>
      </c>
      <c r="E78" s="4">
        <v>31500</v>
      </c>
      <c r="F78" s="4">
        <v>570000</v>
      </c>
    </row>
    <row r="79" spans="1:6" x14ac:dyDescent="0.25">
      <c r="A79" s="4" t="s">
        <v>330</v>
      </c>
      <c r="B79" s="4" t="s">
        <v>580</v>
      </c>
      <c r="C79" s="4" t="s">
        <v>579</v>
      </c>
      <c r="D79" s="4" t="s">
        <v>488</v>
      </c>
      <c r="E79" s="4">
        <v>33500</v>
      </c>
      <c r="F79" s="4">
        <v>530000</v>
      </c>
    </row>
    <row r="80" spans="1:6" x14ac:dyDescent="0.25">
      <c r="A80" s="4" t="s">
        <v>47</v>
      </c>
      <c r="B80" s="4" t="s">
        <v>581</v>
      </c>
      <c r="C80" s="4" t="s">
        <v>579</v>
      </c>
      <c r="D80" s="4" t="s">
        <v>486</v>
      </c>
      <c r="E80" s="4">
        <v>37500</v>
      </c>
      <c r="F80" s="4">
        <v>890000</v>
      </c>
    </row>
    <row r="81" spans="1:6" x14ac:dyDescent="0.25">
      <c r="A81" s="4" t="s">
        <v>87</v>
      </c>
      <c r="B81" s="4" t="s">
        <v>582</v>
      </c>
      <c r="C81" s="4" t="s">
        <v>579</v>
      </c>
      <c r="D81" s="4" t="s">
        <v>491</v>
      </c>
      <c r="E81" s="4">
        <v>45500</v>
      </c>
      <c r="F81" s="4">
        <v>670000</v>
      </c>
    </row>
    <row r="82" spans="1:6" x14ac:dyDescent="0.25">
      <c r="A82" s="4" t="s">
        <v>109</v>
      </c>
      <c r="B82" s="4" t="s">
        <v>583</v>
      </c>
      <c r="C82" s="4" t="s">
        <v>579</v>
      </c>
      <c r="D82" s="4" t="s">
        <v>488</v>
      </c>
      <c r="E82" s="4">
        <v>33500</v>
      </c>
      <c r="F82" s="4">
        <v>860000</v>
      </c>
    </row>
    <row r="83" spans="1:6" x14ac:dyDescent="0.25">
      <c r="A83" s="4" t="s">
        <v>55</v>
      </c>
      <c r="B83" s="4" t="s">
        <v>584</v>
      </c>
      <c r="C83" s="4" t="s">
        <v>579</v>
      </c>
      <c r="D83" s="4" t="s">
        <v>488</v>
      </c>
      <c r="E83" s="4">
        <v>31000</v>
      </c>
      <c r="F83" s="4">
        <v>630000</v>
      </c>
    </row>
    <row r="84" spans="1:6" x14ac:dyDescent="0.25">
      <c r="A84" s="4" t="s">
        <v>381</v>
      </c>
      <c r="B84" s="4" t="s">
        <v>585</v>
      </c>
      <c r="C84" s="4" t="s">
        <v>579</v>
      </c>
      <c r="D84" s="4" t="s">
        <v>491</v>
      </c>
      <c r="E84" s="4">
        <v>39000</v>
      </c>
      <c r="F84" s="4">
        <v>720000</v>
      </c>
    </row>
    <row r="85" spans="1:6" x14ac:dyDescent="0.25">
      <c r="A85" s="4" t="s">
        <v>371</v>
      </c>
      <c r="B85" s="4" t="s">
        <v>586</v>
      </c>
      <c r="C85" s="4" t="s">
        <v>579</v>
      </c>
      <c r="D85" s="4" t="s">
        <v>486</v>
      </c>
      <c r="E85" s="4">
        <v>42000</v>
      </c>
      <c r="F85" s="4">
        <v>760000</v>
      </c>
    </row>
    <row r="86" spans="1:6" x14ac:dyDescent="0.25">
      <c r="A86" s="4" t="s">
        <v>261</v>
      </c>
      <c r="B86" s="4" t="s">
        <v>587</v>
      </c>
      <c r="C86" s="4" t="s">
        <v>579</v>
      </c>
      <c r="D86" s="4" t="s">
        <v>491</v>
      </c>
      <c r="E86" s="4">
        <v>35000</v>
      </c>
      <c r="F86" s="4">
        <v>520000</v>
      </c>
    </row>
    <row r="87" spans="1:6" x14ac:dyDescent="0.25">
      <c r="A87" s="4" t="s">
        <v>276</v>
      </c>
      <c r="B87" s="4" t="s">
        <v>588</v>
      </c>
      <c r="C87" s="4" t="s">
        <v>579</v>
      </c>
      <c r="D87" s="4" t="s">
        <v>488</v>
      </c>
      <c r="E87" s="4">
        <v>42000</v>
      </c>
      <c r="F87" s="4">
        <v>700000</v>
      </c>
    </row>
    <row r="88" spans="1:6" x14ac:dyDescent="0.25">
      <c r="A88" s="4" t="s">
        <v>216</v>
      </c>
      <c r="B88" s="4" t="s">
        <v>589</v>
      </c>
      <c r="C88" s="4" t="s">
        <v>590</v>
      </c>
      <c r="D88" s="4" t="s">
        <v>486</v>
      </c>
      <c r="E88" s="4">
        <v>32000</v>
      </c>
      <c r="F88" s="4">
        <v>580000</v>
      </c>
    </row>
    <row r="89" spans="1:6" x14ac:dyDescent="0.25">
      <c r="A89" s="4" t="s">
        <v>194</v>
      </c>
      <c r="B89" s="4" t="s">
        <v>591</v>
      </c>
      <c r="C89" s="4" t="s">
        <v>590</v>
      </c>
      <c r="D89" s="4" t="s">
        <v>486</v>
      </c>
      <c r="E89" s="4">
        <v>39000</v>
      </c>
      <c r="F89" s="4">
        <v>640000</v>
      </c>
    </row>
    <row r="90" spans="1:6" x14ac:dyDescent="0.25">
      <c r="A90" s="4" t="s">
        <v>592</v>
      </c>
      <c r="B90" s="4" t="s">
        <v>593</v>
      </c>
      <c r="C90" s="4" t="s">
        <v>590</v>
      </c>
      <c r="D90" s="4" t="s">
        <v>488</v>
      </c>
      <c r="E90" s="4">
        <v>29000</v>
      </c>
      <c r="F90" s="4">
        <v>460000</v>
      </c>
    </row>
    <row r="91" spans="1:6" x14ac:dyDescent="0.25">
      <c r="A91" s="4" t="s">
        <v>342</v>
      </c>
      <c r="B91" s="4" t="s">
        <v>594</v>
      </c>
      <c r="C91" s="4" t="s">
        <v>590</v>
      </c>
      <c r="D91" s="4" t="s">
        <v>486</v>
      </c>
      <c r="E91" s="4">
        <v>36000</v>
      </c>
      <c r="F91" s="4">
        <v>740000</v>
      </c>
    </row>
    <row r="92" spans="1:6" x14ac:dyDescent="0.25">
      <c r="A92" s="4" t="s">
        <v>595</v>
      </c>
      <c r="B92" s="4" t="s">
        <v>596</v>
      </c>
      <c r="C92" s="4" t="s">
        <v>590</v>
      </c>
      <c r="D92" s="4" t="s">
        <v>486</v>
      </c>
      <c r="E92" s="4">
        <v>39500</v>
      </c>
      <c r="F92" s="4">
        <v>540000</v>
      </c>
    </row>
    <row r="93" spans="1:6" x14ac:dyDescent="0.25">
      <c r="A93" s="4" t="s">
        <v>236</v>
      </c>
      <c r="B93" s="4" t="s">
        <v>597</v>
      </c>
      <c r="C93" s="4" t="s">
        <v>590</v>
      </c>
      <c r="D93" s="4" t="s">
        <v>486</v>
      </c>
      <c r="E93" s="4">
        <v>33500</v>
      </c>
      <c r="F93" s="4">
        <v>720000</v>
      </c>
    </row>
    <row r="94" spans="1:6" x14ac:dyDescent="0.25">
      <c r="A94" s="4" t="s">
        <v>598</v>
      </c>
      <c r="B94" s="4" t="s">
        <v>599</v>
      </c>
      <c r="C94" s="4" t="s">
        <v>590</v>
      </c>
      <c r="D94" s="4" t="s">
        <v>488</v>
      </c>
      <c r="E94" s="4">
        <v>27500</v>
      </c>
      <c r="F94" s="4">
        <v>610000</v>
      </c>
    </row>
    <row r="95" spans="1:6" x14ac:dyDescent="0.25">
      <c r="A95" s="4" t="s">
        <v>97</v>
      </c>
      <c r="B95" s="4" t="s">
        <v>600</v>
      </c>
      <c r="C95" s="4" t="s">
        <v>590</v>
      </c>
      <c r="D95" s="4" t="s">
        <v>488</v>
      </c>
      <c r="E95" s="4">
        <v>32000</v>
      </c>
      <c r="F95" s="4">
        <v>560000</v>
      </c>
    </row>
    <row r="96" spans="1:6" x14ac:dyDescent="0.25">
      <c r="A96" s="4" t="s">
        <v>601</v>
      </c>
      <c r="B96" s="4" t="s">
        <v>602</v>
      </c>
      <c r="C96" s="4" t="s">
        <v>590</v>
      </c>
      <c r="D96" s="4" t="s">
        <v>486</v>
      </c>
      <c r="E96" s="4">
        <v>33000</v>
      </c>
      <c r="F96" s="4">
        <v>530000</v>
      </c>
    </row>
  </sheetData>
  <autoFilter ref="A1:F9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workbookViewId="0">
      <pane ySplit="1" topLeftCell="A2" activePane="bottomLeft" state="frozen"/>
      <selection activeCell="I10" sqref="I10"/>
      <selection pane="bottomLeft" activeCell="I10" sqref="I10"/>
    </sheetView>
  </sheetViews>
  <sheetFormatPr defaultRowHeight="15" x14ac:dyDescent="0.25"/>
  <cols>
    <col min="1" max="1" width="13" customWidth="1"/>
    <col min="2" max="2" width="21" customWidth="1"/>
    <col min="3" max="3" width="12" customWidth="1"/>
    <col min="4" max="4" width="16" customWidth="1"/>
    <col min="5" max="5" width="20" customWidth="1"/>
    <col min="6" max="7" width="15" customWidth="1"/>
    <col min="8" max="8" width="18" customWidth="1"/>
    <col min="9" max="10" width="16" customWidth="1"/>
    <col min="11" max="11" width="15" customWidth="1"/>
  </cols>
  <sheetData>
    <row r="1" spans="1:11" ht="24" customHeight="1" x14ac:dyDescent="0.25">
      <c r="A1" s="5" t="s">
        <v>20</v>
      </c>
      <c r="B1" s="5" t="s">
        <v>479</v>
      </c>
      <c r="C1" s="5" t="s">
        <v>480</v>
      </c>
      <c r="D1" s="5" t="s">
        <v>482</v>
      </c>
      <c r="E1" s="5" t="s">
        <v>483</v>
      </c>
      <c r="F1" s="5" t="s">
        <v>603</v>
      </c>
      <c r="G1" s="5" t="s">
        <v>604</v>
      </c>
      <c r="H1" s="5" t="s">
        <v>605</v>
      </c>
      <c r="I1" s="5" t="s">
        <v>606</v>
      </c>
      <c r="J1" s="5" t="s">
        <v>607</v>
      </c>
      <c r="K1" s="5" t="s">
        <v>608</v>
      </c>
    </row>
    <row r="2" spans="1:11" x14ac:dyDescent="0.25">
      <c r="A2" s="4" t="s">
        <v>80</v>
      </c>
      <c r="B2" s="4" t="s">
        <v>484</v>
      </c>
      <c r="C2" s="4" t="s">
        <v>485</v>
      </c>
      <c r="D2" s="4">
        <v>51000</v>
      </c>
      <c r="E2" s="4">
        <v>800000</v>
      </c>
      <c r="F2" s="7">
        <v>865500</v>
      </c>
      <c r="G2" s="7">
        <v>90.7</v>
      </c>
      <c r="H2" s="7">
        <v>95.3</v>
      </c>
      <c r="I2" s="7">
        <v>91.1</v>
      </c>
      <c r="J2" s="7">
        <v>81.599999999999994</v>
      </c>
      <c r="K2" s="7">
        <v>97.7</v>
      </c>
    </row>
    <row r="3" spans="1:11" x14ac:dyDescent="0.25">
      <c r="A3" s="4" t="s">
        <v>225</v>
      </c>
      <c r="B3" s="4" t="s">
        <v>487</v>
      </c>
      <c r="C3" s="4" t="s">
        <v>485</v>
      </c>
      <c r="D3" s="4">
        <v>39000</v>
      </c>
      <c r="E3" s="4">
        <v>1130000</v>
      </c>
      <c r="F3" s="7">
        <v>904600</v>
      </c>
      <c r="G3" s="7">
        <v>81.400000000000006</v>
      </c>
      <c r="H3" s="7">
        <v>94.8</v>
      </c>
      <c r="I3" s="7">
        <v>68</v>
      </c>
      <c r="J3" s="7">
        <v>73.3</v>
      </c>
      <c r="K3" s="7">
        <v>79.599999999999994</v>
      </c>
    </row>
    <row r="4" spans="1:11" x14ac:dyDescent="0.25">
      <c r="A4" s="4" t="s">
        <v>489</v>
      </c>
      <c r="B4" s="4" t="s">
        <v>490</v>
      </c>
      <c r="C4" s="4" t="s">
        <v>485</v>
      </c>
      <c r="D4" s="4">
        <v>32000</v>
      </c>
      <c r="E4" s="4">
        <v>1040000</v>
      </c>
      <c r="F4" s="7">
        <v>1103000</v>
      </c>
      <c r="G4" s="7">
        <v>78.3</v>
      </c>
      <c r="H4" s="7">
        <v>93.3</v>
      </c>
      <c r="I4" s="7">
        <v>76.400000000000006</v>
      </c>
      <c r="J4" s="7">
        <v>96.2</v>
      </c>
      <c r="K4" s="7">
        <v>94.8</v>
      </c>
    </row>
    <row r="5" spans="1:11" x14ac:dyDescent="0.25">
      <c r="A5" s="4" t="s">
        <v>51</v>
      </c>
      <c r="B5" s="4" t="s">
        <v>492</v>
      </c>
      <c r="C5" s="4" t="s">
        <v>485</v>
      </c>
      <c r="D5" s="4">
        <v>44500</v>
      </c>
      <c r="E5" s="4">
        <v>720000</v>
      </c>
      <c r="F5" s="7">
        <v>869100</v>
      </c>
      <c r="G5" s="7">
        <v>70.900000000000006</v>
      </c>
      <c r="H5" s="7">
        <v>91.9</v>
      </c>
      <c r="I5" s="7">
        <v>88.5</v>
      </c>
      <c r="J5" s="7">
        <v>88.8</v>
      </c>
      <c r="K5" s="7">
        <v>99.9</v>
      </c>
    </row>
    <row r="6" spans="1:11" x14ac:dyDescent="0.25">
      <c r="A6" s="4" t="s">
        <v>147</v>
      </c>
      <c r="B6" s="4" t="s">
        <v>493</v>
      </c>
      <c r="C6" s="4" t="s">
        <v>485</v>
      </c>
      <c r="D6" s="4">
        <v>31500</v>
      </c>
      <c r="E6" s="4">
        <v>1060000</v>
      </c>
      <c r="F6" s="7">
        <v>1030900</v>
      </c>
      <c r="G6" s="7">
        <v>71.8</v>
      </c>
      <c r="H6" s="7">
        <v>91.3</v>
      </c>
      <c r="I6" s="7">
        <v>74.8</v>
      </c>
      <c r="J6" s="7">
        <v>86.2</v>
      </c>
      <c r="K6" s="7">
        <v>87.7</v>
      </c>
    </row>
    <row r="7" spans="1:11" x14ac:dyDescent="0.25">
      <c r="A7" s="4" t="s">
        <v>359</v>
      </c>
      <c r="B7" s="4" t="s">
        <v>494</v>
      </c>
      <c r="C7" s="4" t="s">
        <v>485</v>
      </c>
      <c r="D7" s="4">
        <v>37500</v>
      </c>
      <c r="E7" s="4">
        <v>720000</v>
      </c>
      <c r="F7" s="7">
        <v>926400</v>
      </c>
      <c r="G7" s="7">
        <v>75.8</v>
      </c>
      <c r="H7" s="7">
        <v>89.9</v>
      </c>
      <c r="I7" s="7">
        <v>78.900000000000006</v>
      </c>
      <c r="J7" s="7">
        <v>92.3</v>
      </c>
      <c r="K7" s="7">
        <v>100</v>
      </c>
    </row>
    <row r="8" spans="1:11" x14ac:dyDescent="0.25">
      <c r="A8" s="4" t="s">
        <v>326</v>
      </c>
      <c r="B8" s="4" t="s">
        <v>495</v>
      </c>
      <c r="C8" s="4" t="s">
        <v>485</v>
      </c>
      <c r="D8" s="4">
        <v>34000</v>
      </c>
      <c r="E8" s="4">
        <v>1200000</v>
      </c>
      <c r="F8" s="7">
        <v>863500</v>
      </c>
      <c r="G8" s="7">
        <v>95.1</v>
      </c>
      <c r="H8" s="7">
        <v>93.3</v>
      </c>
      <c r="I8" s="7">
        <v>72.7</v>
      </c>
      <c r="J8" s="7">
        <v>71.2</v>
      </c>
      <c r="K8" s="7">
        <v>78.7</v>
      </c>
    </row>
    <row r="9" spans="1:11" x14ac:dyDescent="0.25">
      <c r="A9" s="4" t="s">
        <v>218</v>
      </c>
      <c r="B9" s="4" t="s">
        <v>496</v>
      </c>
      <c r="C9" s="4" t="s">
        <v>485</v>
      </c>
      <c r="D9" s="4">
        <v>51000</v>
      </c>
      <c r="E9" s="4">
        <v>1130000</v>
      </c>
      <c r="F9" s="7">
        <v>1251100</v>
      </c>
      <c r="G9" s="7">
        <v>80.5</v>
      </c>
      <c r="H9" s="7">
        <v>94.7</v>
      </c>
      <c r="I9" s="7">
        <v>71</v>
      </c>
      <c r="J9" s="7">
        <v>81.400000000000006</v>
      </c>
      <c r="K9" s="7">
        <v>94.7</v>
      </c>
    </row>
    <row r="10" spans="1:11" x14ac:dyDescent="0.25">
      <c r="A10" s="4" t="s">
        <v>76</v>
      </c>
      <c r="B10" s="4" t="s">
        <v>497</v>
      </c>
      <c r="C10" s="4" t="s">
        <v>485</v>
      </c>
      <c r="D10" s="4">
        <v>46000</v>
      </c>
      <c r="E10" s="4">
        <v>820000</v>
      </c>
      <c r="F10" s="7">
        <v>731800</v>
      </c>
      <c r="G10" s="7">
        <v>81.099999999999994</v>
      </c>
      <c r="H10" s="7">
        <v>91.3</v>
      </c>
      <c r="I10" s="7">
        <v>64.7</v>
      </c>
      <c r="J10" s="7">
        <v>99</v>
      </c>
      <c r="K10" s="7">
        <v>86.8</v>
      </c>
    </row>
    <row r="11" spans="1:11" x14ac:dyDescent="0.25">
      <c r="A11" s="4" t="s">
        <v>65</v>
      </c>
      <c r="B11" s="4" t="s">
        <v>498</v>
      </c>
      <c r="C11" s="4" t="s">
        <v>485</v>
      </c>
      <c r="D11" s="4">
        <v>30500</v>
      </c>
      <c r="E11" s="4">
        <v>1100000</v>
      </c>
      <c r="F11" s="7">
        <v>808000</v>
      </c>
      <c r="G11" s="7">
        <v>83.6</v>
      </c>
      <c r="H11" s="7">
        <v>86.9</v>
      </c>
      <c r="I11" s="7">
        <v>60</v>
      </c>
      <c r="J11" s="7">
        <v>84.8</v>
      </c>
      <c r="K11" s="7">
        <v>77.2</v>
      </c>
    </row>
    <row r="12" spans="1:11" x14ac:dyDescent="0.25">
      <c r="A12" s="4" t="s">
        <v>184</v>
      </c>
      <c r="B12" s="4" t="s">
        <v>499</v>
      </c>
      <c r="C12" s="4" t="s">
        <v>485</v>
      </c>
      <c r="D12" s="4">
        <v>28500</v>
      </c>
      <c r="E12" s="4">
        <v>1120000</v>
      </c>
      <c r="F12" s="7">
        <v>1132800</v>
      </c>
      <c r="G12" s="7">
        <v>93.4</v>
      </c>
      <c r="H12" s="7">
        <v>95.6</v>
      </c>
      <c r="I12" s="7">
        <v>78.5</v>
      </c>
      <c r="J12" s="7">
        <v>76.400000000000006</v>
      </c>
      <c r="K12" s="7">
        <v>93.1</v>
      </c>
    </row>
    <row r="13" spans="1:11" x14ac:dyDescent="0.25">
      <c r="A13" s="4" t="s">
        <v>93</v>
      </c>
      <c r="B13" s="4" t="s">
        <v>500</v>
      </c>
      <c r="C13" s="4" t="s">
        <v>485</v>
      </c>
      <c r="D13" s="4">
        <v>31000</v>
      </c>
      <c r="E13" s="4">
        <v>1110000</v>
      </c>
      <c r="F13" s="7">
        <v>1387300</v>
      </c>
      <c r="G13" s="7">
        <v>90.4</v>
      </c>
      <c r="H13" s="7">
        <v>89</v>
      </c>
      <c r="I13" s="7">
        <v>80.400000000000006</v>
      </c>
      <c r="J13" s="7">
        <v>85.2</v>
      </c>
      <c r="K13" s="7">
        <v>100</v>
      </c>
    </row>
    <row r="14" spans="1:11" x14ac:dyDescent="0.25">
      <c r="A14" s="4" t="s">
        <v>160</v>
      </c>
      <c r="B14" s="4" t="s">
        <v>501</v>
      </c>
      <c r="C14" s="4" t="s">
        <v>485</v>
      </c>
      <c r="D14" s="4">
        <v>44500</v>
      </c>
      <c r="E14" s="4">
        <v>1170000</v>
      </c>
      <c r="F14" s="7">
        <v>1073800</v>
      </c>
      <c r="G14" s="7">
        <v>88.9</v>
      </c>
      <c r="H14" s="7">
        <v>97.3</v>
      </c>
      <c r="I14" s="7">
        <v>78.099999999999994</v>
      </c>
      <c r="J14" s="7">
        <v>81.8</v>
      </c>
      <c r="K14" s="7">
        <v>88.9</v>
      </c>
    </row>
    <row r="15" spans="1:11" x14ac:dyDescent="0.25">
      <c r="A15" s="4" t="s">
        <v>312</v>
      </c>
      <c r="B15" s="4" t="s">
        <v>502</v>
      </c>
      <c r="C15" s="4" t="s">
        <v>485</v>
      </c>
      <c r="D15" s="4">
        <v>42000</v>
      </c>
      <c r="E15" s="4">
        <v>830000</v>
      </c>
      <c r="F15" s="7">
        <v>1037300</v>
      </c>
      <c r="G15" s="7">
        <v>90.4</v>
      </c>
      <c r="H15" s="7">
        <v>94.3</v>
      </c>
      <c r="I15" s="7">
        <v>63.7</v>
      </c>
      <c r="J15" s="7">
        <v>86.8</v>
      </c>
      <c r="K15" s="7">
        <v>100</v>
      </c>
    </row>
    <row r="16" spans="1:11" x14ac:dyDescent="0.25">
      <c r="A16" s="4" t="s">
        <v>221</v>
      </c>
      <c r="B16" s="4" t="s">
        <v>503</v>
      </c>
      <c r="C16" s="4" t="s">
        <v>485</v>
      </c>
      <c r="D16" s="4">
        <v>28500</v>
      </c>
      <c r="E16" s="4">
        <v>730000</v>
      </c>
      <c r="F16" s="7">
        <v>807100</v>
      </c>
      <c r="G16" s="7">
        <v>57.2</v>
      </c>
      <c r="H16" s="7">
        <v>95</v>
      </c>
      <c r="I16" s="7">
        <v>75.8</v>
      </c>
      <c r="J16" s="7">
        <v>82.2</v>
      </c>
      <c r="K16" s="7">
        <v>90.6</v>
      </c>
    </row>
    <row r="17" spans="1:11" x14ac:dyDescent="0.25">
      <c r="A17" s="4" t="s">
        <v>60</v>
      </c>
      <c r="B17" s="4" t="s">
        <v>504</v>
      </c>
      <c r="C17" s="4" t="s">
        <v>485</v>
      </c>
      <c r="D17" s="4">
        <v>38500</v>
      </c>
      <c r="E17" s="4">
        <v>760000</v>
      </c>
      <c r="F17" s="7">
        <v>620700</v>
      </c>
      <c r="G17" s="7">
        <v>80.7</v>
      </c>
      <c r="H17" s="7">
        <v>99.6</v>
      </c>
      <c r="I17" s="7">
        <v>75.5</v>
      </c>
      <c r="J17" s="7">
        <v>91.7</v>
      </c>
      <c r="K17" s="7">
        <v>84.2</v>
      </c>
    </row>
    <row r="18" spans="1:11" x14ac:dyDescent="0.25">
      <c r="A18" s="4" t="s">
        <v>299</v>
      </c>
      <c r="B18" s="4" t="s">
        <v>505</v>
      </c>
      <c r="C18" s="4" t="s">
        <v>485</v>
      </c>
      <c r="D18" s="4">
        <v>31000</v>
      </c>
      <c r="E18" s="4">
        <v>1170000</v>
      </c>
      <c r="F18" s="7">
        <v>976800</v>
      </c>
      <c r="G18" s="7">
        <v>88.8</v>
      </c>
      <c r="H18" s="7">
        <v>94</v>
      </c>
      <c r="I18" s="7">
        <v>83.5</v>
      </c>
      <c r="J18" s="7">
        <v>84.1</v>
      </c>
      <c r="K18" s="7">
        <v>85.7</v>
      </c>
    </row>
    <row r="19" spans="1:11" x14ac:dyDescent="0.25">
      <c r="A19" s="4" t="s">
        <v>265</v>
      </c>
      <c r="B19" s="4" t="s">
        <v>506</v>
      </c>
      <c r="C19" s="4" t="s">
        <v>485</v>
      </c>
      <c r="D19" s="4">
        <v>32000</v>
      </c>
      <c r="E19" s="4">
        <v>990000</v>
      </c>
      <c r="F19" s="7">
        <v>1084500</v>
      </c>
      <c r="G19" s="7">
        <v>58.9</v>
      </c>
      <c r="H19" s="7">
        <v>88.3</v>
      </c>
      <c r="I19" s="7">
        <v>84.2</v>
      </c>
      <c r="J19" s="7">
        <v>67.7</v>
      </c>
      <c r="K19" s="7">
        <v>88.5</v>
      </c>
    </row>
    <row r="20" spans="1:11" x14ac:dyDescent="0.25">
      <c r="A20" s="4" t="s">
        <v>355</v>
      </c>
      <c r="B20" s="4" t="s">
        <v>507</v>
      </c>
      <c r="C20" s="4" t="s">
        <v>485</v>
      </c>
      <c r="D20" s="4">
        <v>37500</v>
      </c>
      <c r="E20" s="4">
        <v>710000</v>
      </c>
      <c r="F20" s="7">
        <v>628000</v>
      </c>
      <c r="G20" s="7">
        <v>81.5</v>
      </c>
      <c r="H20" s="7">
        <v>90.7</v>
      </c>
      <c r="I20" s="7">
        <v>73.099999999999994</v>
      </c>
      <c r="J20" s="7">
        <v>86.2</v>
      </c>
      <c r="K20" s="7">
        <v>85.4</v>
      </c>
    </row>
    <row r="21" spans="1:11" x14ac:dyDescent="0.25">
      <c r="A21" s="4" t="s">
        <v>243</v>
      </c>
      <c r="B21" s="4" t="s">
        <v>508</v>
      </c>
      <c r="C21" s="4" t="s">
        <v>485</v>
      </c>
      <c r="D21" s="4">
        <v>38000</v>
      </c>
      <c r="E21" s="4">
        <v>880000</v>
      </c>
      <c r="F21" s="7">
        <v>1022300</v>
      </c>
      <c r="G21" s="7">
        <v>73.400000000000006</v>
      </c>
      <c r="H21" s="7">
        <v>91.7</v>
      </c>
      <c r="I21" s="7">
        <v>72.7</v>
      </c>
      <c r="J21" s="7">
        <v>64.599999999999994</v>
      </c>
      <c r="K21" s="7">
        <v>93.1</v>
      </c>
    </row>
    <row r="22" spans="1:11" x14ac:dyDescent="0.25">
      <c r="A22" s="4" t="s">
        <v>111</v>
      </c>
      <c r="B22" s="4" t="s">
        <v>509</v>
      </c>
      <c r="C22" s="4" t="s">
        <v>485</v>
      </c>
      <c r="D22" s="4">
        <v>34500</v>
      </c>
      <c r="E22" s="4">
        <v>920000</v>
      </c>
      <c r="F22" s="7">
        <v>925100</v>
      </c>
      <c r="G22" s="7">
        <v>90.4</v>
      </c>
      <c r="H22" s="7">
        <v>98.1</v>
      </c>
      <c r="I22" s="7">
        <v>71.3</v>
      </c>
      <c r="J22" s="7">
        <v>74</v>
      </c>
      <c r="K22" s="7">
        <v>91.4</v>
      </c>
    </row>
    <row r="23" spans="1:11" x14ac:dyDescent="0.25">
      <c r="A23" s="4" t="s">
        <v>168</v>
      </c>
      <c r="B23" s="4" t="s">
        <v>510</v>
      </c>
      <c r="C23" s="4" t="s">
        <v>485</v>
      </c>
      <c r="D23" s="4">
        <v>29000</v>
      </c>
      <c r="E23" s="4">
        <v>1010000</v>
      </c>
      <c r="F23" s="7">
        <v>993700</v>
      </c>
      <c r="G23" s="7">
        <v>89.5</v>
      </c>
      <c r="H23" s="7">
        <v>94.6</v>
      </c>
      <c r="I23" s="7">
        <v>82.9</v>
      </c>
      <c r="J23" s="7">
        <v>93.1</v>
      </c>
      <c r="K23" s="7">
        <v>93.9</v>
      </c>
    </row>
    <row r="24" spans="1:11" x14ac:dyDescent="0.25">
      <c r="A24" s="4" t="s">
        <v>511</v>
      </c>
      <c r="B24" s="4" t="s">
        <v>512</v>
      </c>
      <c r="C24" s="4" t="s">
        <v>485</v>
      </c>
      <c r="D24" s="4">
        <v>43500</v>
      </c>
      <c r="E24" s="4">
        <v>950000</v>
      </c>
      <c r="F24" s="7">
        <v>804600</v>
      </c>
      <c r="G24" s="7">
        <v>80</v>
      </c>
      <c r="H24" s="7">
        <v>100</v>
      </c>
      <c r="I24" s="7">
        <v>78</v>
      </c>
      <c r="J24" s="7">
        <v>73.900000000000006</v>
      </c>
      <c r="K24" s="7">
        <v>83</v>
      </c>
    </row>
    <row r="25" spans="1:11" x14ac:dyDescent="0.25">
      <c r="A25" s="4" t="s">
        <v>197</v>
      </c>
      <c r="B25" s="4" t="s">
        <v>513</v>
      </c>
      <c r="C25" s="4" t="s">
        <v>485</v>
      </c>
      <c r="D25" s="4">
        <v>39500</v>
      </c>
      <c r="E25" s="4">
        <v>740000</v>
      </c>
      <c r="F25" s="7">
        <v>636000</v>
      </c>
      <c r="G25" s="7">
        <v>73.599999999999994</v>
      </c>
      <c r="H25" s="7">
        <v>95.4</v>
      </c>
      <c r="I25" s="7">
        <v>71</v>
      </c>
      <c r="J25" s="7">
        <v>86.2</v>
      </c>
      <c r="K25" s="7">
        <v>83</v>
      </c>
    </row>
    <row r="26" spans="1:11" x14ac:dyDescent="0.25">
      <c r="A26" s="4" t="s">
        <v>211</v>
      </c>
      <c r="B26" s="4" t="s">
        <v>514</v>
      </c>
      <c r="C26" s="4" t="s">
        <v>485</v>
      </c>
      <c r="D26" s="4">
        <v>31500</v>
      </c>
      <c r="E26" s="4">
        <v>800000</v>
      </c>
      <c r="F26" s="7">
        <v>678000</v>
      </c>
      <c r="G26" s="7">
        <v>62.9</v>
      </c>
      <c r="H26" s="7">
        <v>95.2</v>
      </c>
      <c r="I26" s="7">
        <v>81.5</v>
      </c>
      <c r="J26" s="7">
        <v>88.1</v>
      </c>
      <c r="K26" s="7">
        <v>81.599999999999994</v>
      </c>
    </row>
    <row r="27" spans="1:11" x14ac:dyDescent="0.25">
      <c r="A27" s="4" t="s">
        <v>515</v>
      </c>
      <c r="B27" s="4" t="s">
        <v>516</v>
      </c>
      <c r="C27" s="4" t="s">
        <v>485</v>
      </c>
      <c r="D27" s="4">
        <v>34000</v>
      </c>
      <c r="E27" s="4">
        <v>1200000</v>
      </c>
      <c r="F27" s="7">
        <v>1030600</v>
      </c>
      <c r="G27" s="7">
        <v>75</v>
      </c>
      <c r="H27" s="7">
        <v>95.6</v>
      </c>
      <c r="I27" s="7">
        <v>95.2</v>
      </c>
      <c r="J27" s="7">
        <v>84.1</v>
      </c>
      <c r="K27" s="7">
        <v>85.3</v>
      </c>
    </row>
    <row r="28" spans="1:11" x14ac:dyDescent="0.25">
      <c r="A28" s="4" t="s">
        <v>336</v>
      </c>
      <c r="B28" s="4" t="s">
        <v>517</v>
      </c>
      <c r="C28" s="4" t="s">
        <v>485</v>
      </c>
      <c r="D28" s="4">
        <v>47000</v>
      </c>
      <c r="E28" s="4">
        <v>1190000</v>
      </c>
      <c r="F28" s="7">
        <v>1257100</v>
      </c>
      <c r="G28" s="7">
        <v>79.099999999999994</v>
      </c>
      <c r="H28" s="7">
        <v>87.8</v>
      </c>
      <c r="I28" s="7">
        <v>89.7</v>
      </c>
      <c r="J28" s="7">
        <v>91.3</v>
      </c>
      <c r="K28" s="7">
        <v>94.8</v>
      </c>
    </row>
    <row r="29" spans="1:11" x14ac:dyDescent="0.25">
      <c r="A29" s="4" t="s">
        <v>73</v>
      </c>
      <c r="B29" s="4" t="s">
        <v>518</v>
      </c>
      <c r="C29" s="4" t="s">
        <v>485</v>
      </c>
      <c r="D29" s="4">
        <v>36500</v>
      </c>
      <c r="E29" s="4">
        <v>970000</v>
      </c>
      <c r="F29" s="7">
        <v>1074700</v>
      </c>
      <c r="G29" s="7">
        <v>80.400000000000006</v>
      </c>
      <c r="H29" s="7">
        <v>96.4</v>
      </c>
      <c r="I29" s="7">
        <v>88.9</v>
      </c>
      <c r="J29" s="7">
        <v>97</v>
      </c>
      <c r="K29" s="7">
        <v>99</v>
      </c>
    </row>
    <row r="30" spans="1:11" x14ac:dyDescent="0.25">
      <c r="A30" s="4" t="s">
        <v>274</v>
      </c>
      <c r="B30" s="4" t="s">
        <v>519</v>
      </c>
      <c r="C30" s="4" t="s">
        <v>520</v>
      </c>
      <c r="D30" s="4">
        <v>37000</v>
      </c>
      <c r="E30" s="4">
        <v>1080000</v>
      </c>
      <c r="F30" s="7">
        <v>1250600</v>
      </c>
      <c r="G30" s="7">
        <v>82.6</v>
      </c>
      <c r="H30" s="7">
        <v>88.8</v>
      </c>
      <c r="I30" s="7">
        <v>81.599999999999994</v>
      </c>
      <c r="J30" s="7">
        <v>86.1</v>
      </c>
      <c r="K30" s="7">
        <v>98.6</v>
      </c>
    </row>
    <row r="31" spans="1:11" x14ac:dyDescent="0.25">
      <c r="A31" s="4" t="s">
        <v>287</v>
      </c>
      <c r="B31" s="4" t="s">
        <v>521</v>
      </c>
      <c r="C31" s="4" t="s">
        <v>520</v>
      </c>
      <c r="D31" s="4">
        <v>38000</v>
      </c>
      <c r="E31" s="4">
        <v>890000</v>
      </c>
      <c r="F31" s="7">
        <v>985800</v>
      </c>
      <c r="G31" s="7">
        <v>94.2</v>
      </c>
      <c r="H31" s="7">
        <v>93.6</v>
      </c>
      <c r="I31" s="7">
        <v>99</v>
      </c>
      <c r="J31" s="7">
        <v>69.900000000000006</v>
      </c>
      <c r="K31" s="7">
        <v>98.4</v>
      </c>
    </row>
    <row r="32" spans="1:11" x14ac:dyDescent="0.25">
      <c r="A32" s="4" t="s">
        <v>364</v>
      </c>
      <c r="B32" s="4" t="s">
        <v>522</v>
      </c>
      <c r="C32" s="4" t="s">
        <v>520</v>
      </c>
      <c r="D32" s="4">
        <v>42000</v>
      </c>
      <c r="E32" s="4">
        <v>810000</v>
      </c>
      <c r="F32" s="7">
        <v>854900</v>
      </c>
      <c r="G32" s="7">
        <v>74.8</v>
      </c>
      <c r="H32" s="7">
        <v>86.4</v>
      </c>
      <c r="I32" s="7">
        <v>78</v>
      </c>
      <c r="J32" s="7">
        <v>72.3</v>
      </c>
      <c r="K32" s="7">
        <v>89.7</v>
      </c>
    </row>
    <row r="33" spans="1:11" x14ac:dyDescent="0.25">
      <c r="A33" s="4" t="s">
        <v>83</v>
      </c>
      <c r="B33" s="4" t="s">
        <v>523</v>
      </c>
      <c r="C33" s="4" t="s">
        <v>520</v>
      </c>
      <c r="D33" s="4">
        <v>31000</v>
      </c>
      <c r="E33" s="4">
        <v>1300000</v>
      </c>
      <c r="F33" s="7">
        <v>1236200</v>
      </c>
      <c r="G33" s="7">
        <v>82.3</v>
      </c>
      <c r="H33" s="7">
        <v>98.5</v>
      </c>
      <c r="I33" s="7">
        <v>64.900000000000006</v>
      </c>
      <c r="J33" s="7">
        <v>91.3</v>
      </c>
      <c r="K33" s="7">
        <v>89.3</v>
      </c>
    </row>
    <row r="34" spans="1:11" x14ac:dyDescent="0.25">
      <c r="A34" s="4" t="s">
        <v>524</v>
      </c>
      <c r="B34" s="4" t="s">
        <v>525</v>
      </c>
      <c r="C34" s="4" t="s">
        <v>520</v>
      </c>
      <c r="D34" s="4">
        <v>37000</v>
      </c>
      <c r="E34" s="4">
        <v>1090000</v>
      </c>
      <c r="F34" s="7">
        <v>1087400</v>
      </c>
      <c r="G34" s="7">
        <v>91.3</v>
      </c>
      <c r="H34" s="7">
        <v>92.3</v>
      </c>
      <c r="I34" s="7">
        <v>66.7</v>
      </c>
      <c r="J34" s="7">
        <v>74.3</v>
      </c>
      <c r="K34" s="7">
        <v>90.2</v>
      </c>
    </row>
    <row r="35" spans="1:11" x14ac:dyDescent="0.25">
      <c r="A35" s="4" t="s">
        <v>207</v>
      </c>
      <c r="B35" s="4" t="s">
        <v>526</v>
      </c>
      <c r="C35" s="4" t="s">
        <v>520</v>
      </c>
      <c r="D35" s="4">
        <v>49500</v>
      </c>
      <c r="E35" s="4">
        <v>850000</v>
      </c>
      <c r="F35" s="7">
        <v>635400</v>
      </c>
      <c r="G35" s="7">
        <v>86.3</v>
      </c>
      <c r="H35" s="7">
        <v>99.9</v>
      </c>
      <c r="I35" s="7">
        <v>74.400000000000006</v>
      </c>
      <c r="J35" s="7">
        <v>89</v>
      </c>
      <c r="K35" s="7">
        <v>81.7</v>
      </c>
    </row>
    <row r="36" spans="1:11" x14ac:dyDescent="0.25">
      <c r="A36" s="4" t="s">
        <v>223</v>
      </c>
      <c r="B36" s="4" t="s">
        <v>527</v>
      </c>
      <c r="C36" s="4" t="s">
        <v>520</v>
      </c>
      <c r="D36" s="4">
        <v>35000</v>
      </c>
      <c r="E36" s="4">
        <v>1070000</v>
      </c>
      <c r="F36" s="7">
        <v>755200</v>
      </c>
      <c r="G36" s="7">
        <v>83.6</v>
      </c>
      <c r="H36" s="7">
        <v>96.7</v>
      </c>
      <c r="I36" s="7">
        <v>65.5</v>
      </c>
      <c r="J36" s="7">
        <v>82.4</v>
      </c>
      <c r="K36" s="7">
        <v>77.099999999999994</v>
      </c>
    </row>
    <row r="37" spans="1:11" x14ac:dyDescent="0.25">
      <c r="A37" s="4" t="s">
        <v>290</v>
      </c>
      <c r="B37" s="4" t="s">
        <v>528</v>
      </c>
      <c r="C37" s="4" t="s">
        <v>520</v>
      </c>
      <c r="D37" s="4">
        <v>31000</v>
      </c>
      <c r="E37" s="4">
        <v>1300000</v>
      </c>
      <c r="F37" s="7">
        <v>1441500</v>
      </c>
      <c r="G37" s="7">
        <v>55.6</v>
      </c>
      <c r="H37" s="7">
        <v>99.3</v>
      </c>
      <c r="I37" s="7">
        <v>83.5</v>
      </c>
      <c r="J37" s="7">
        <v>89.7</v>
      </c>
      <c r="K37" s="7">
        <v>92.8</v>
      </c>
    </row>
    <row r="38" spans="1:11" x14ac:dyDescent="0.25">
      <c r="A38" s="4" t="s">
        <v>106</v>
      </c>
      <c r="B38" s="4" t="s">
        <v>529</v>
      </c>
      <c r="C38" s="4" t="s">
        <v>520</v>
      </c>
      <c r="D38" s="4">
        <v>41500</v>
      </c>
      <c r="E38" s="4">
        <v>1290000</v>
      </c>
      <c r="F38" s="7">
        <v>1168400</v>
      </c>
      <c r="G38" s="7">
        <v>66.5</v>
      </c>
      <c r="H38" s="7">
        <v>96.1</v>
      </c>
      <c r="I38" s="7">
        <v>79.2</v>
      </c>
      <c r="J38" s="7">
        <v>84.3</v>
      </c>
      <c r="K38" s="7">
        <v>84.2</v>
      </c>
    </row>
    <row r="39" spans="1:11" x14ac:dyDescent="0.25">
      <c r="A39" s="4" t="s">
        <v>530</v>
      </c>
      <c r="B39" s="4" t="s">
        <v>531</v>
      </c>
      <c r="C39" s="4" t="s">
        <v>520</v>
      </c>
      <c r="D39" s="4">
        <v>37000</v>
      </c>
      <c r="E39" s="4">
        <v>1220000</v>
      </c>
      <c r="F39" s="7">
        <v>1434400</v>
      </c>
      <c r="G39" s="7">
        <v>88.9</v>
      </c>
      <c r="H39" s="7">
        <v>100</v>
      </c>
      <c r="I39" s="7">
        <v>81.5</v>
      </c>
      <c r="J39" s="7">
        <v>78.5</v>
      </c>
      <c r="K39" s="7">
        <v>100</v>
      </c>
    </row>
    <row r="40" spans="1:11" x14ac:dyDescent="0.25">
      <c r="A40" s="4" t="s">
        <v>254</v>
      </c>
      <c r="B40" s="4" t="s">
        <v>532</v>
      </c>
      <c r="C40" s="4" t="s">
        <v>520</v>
      </c>
      <c r="D40" s="4">
        <v>33500</v>
      </c>
      <c r="E40" s="4">
        <v>1100000</v>
      </c>
      <c r="F40" s="7">
        <v>1040700</v>
      </c>
      <c r="G40" s="7">
        <v>85.7</v>
      </c>
      <c r="H40" s="7">
        <v>98.1</v>
      </c>
      <c r="I40" s="7">
        <v>65.3</v>
      </c>
      <c r="J40" s="7">
        <v>84.1</v>
      </c>
      <c r="K40" s="7">
        <v>88.7</v>
      </c>
    </row>
    <row r="41" spans="1:11" x14ac:dyDescent="0.25">
      <c r="A41" s="4" t="s">
        <v>189</v>
      </c>
      <c r="B41" s="4" t="s">
        <v>533</v>
      </c>
      <c r="C41" s="4" t="s">
        <v>520</v>
      </c>
      <c r="D41" s="4">
        <v>44000</v>
      </c>
      <c r="E41" s="4">
        <v>1260000</v>
      </c>
      <c r="F41" s="7">
        <v>1599800</v>
      </c>
      <c r="G41" s="7">
        <v>79.8</v>
      </c>
      <c r="H41" s="7">
        <v>97.7</v>
      </c>
      <c r="I41" s="7">
        <v>84.9</v>
      </c>
      <c r="J41" s="7">
        <v>91.6</v>
      </c>
      <c r="K41" s="7">
        <v>100</v>
      </c>
    </row>
    <row r="42" spans="1:11" x14ac:dyDescent="0.25">
      <c r="A42" s="4" t="s">
        <v>41</v>
      </c>
      <c r="B42" s="4" t="s">
        <v>534</v>
      </c>
      <c r="C42" s="4" t="s">
        <v>535</v>
      </c>
      <c r="D42" s="4">
        <v>56000</v>
      </c>
      <c r="E42" s="4">
        <v>740000</v>
      </c>
      <c r="F42" s="7">
        <v>617300</v>
      </c>
      <c r="G42" s="7">
        <v>74.8</v>
      </c>
      <c r="H42" s="7">
        <v>94.1</v>
      </c>
      <c r="I42" s="7">
        <v>64.7</v>
      </c>
      <c r="J42" s="7">
        <v>81.8</v>
      </c>
      <c r="K42" s="7">
        <v>80.599999999999994</v>
      </c>
    </row>
    <row r="43" spans="1:11" x14ac:dyDescent="0.25">
      <c r="A43" s="4" t="s">
        <v>367</v>
      </c>
      <c r="B43" s="4" t="s">
        <v>536</v>
      </c>
      <c r="C43" s="4" t="s">
        <v>535</v>
      </c>
      <c r="D43" s="4">
        <v>52000</v>
      </c>
      <c r="E43" s="4">
        <v>830000</v>
      </c>
      <c r="F43" s="7">
        <v>851200</v>
      </c>
      <c r="G43" s="7">
        <v>98.1</v>
      </c>
      <c r="H43" s="7">
        <v>95.6</v>
      </c>
      <c r="I43" s="7">
        <v>86.3</v>
      </c>
      <c r="J43" s="7">
        <v>93.3</v>
      </c>
      <c r="K43" s="7">
        <v>98</v>
      </c>
    </row>
    <row r="44" spans="1:11" x14ac:dyDescent="0.25">
      <c r="A44" s="4" t="s">
        <v>307</v>
      </c>
      <c r="B44" s="4" t="s">
        <v>537</v>
      </c>
      <c r="C44" s="4" t="s">
        <v>535</v>
      </c>
      <c r="D44" s="4">
        <v>60000</v>
      </c>
      <c r="E44" s="4">
        <v>920000</v>
      </c>
      <c r="F44" s="7">
        <v>741900</v>
      </c>
      <c r="G44" s="7">
        <v>80.5</v>
      </c>
      <c r="H44" s="7">
        <v>100</v>
      </c>
      <c r="I44" s="7">
        <v>79.2</v>
      </c>
      <c r="J44" s="7">
        <v>92.9</v>
      </c>
      <c r="K44" s="7">
        <v>84.2</v>
      </c>
    </row>
    <row r="45" spans="1:11" x14ac:dyDescent="0.25">
      <c r="A45" s="4" t="s">
        <v>114</v>
      </c>
      <c r="B45" s="4" t="s">
        <v>538</v>
      </c>
      <c r="C45" s="4" t="s">
        <v>535</v>
      </c>
      <c r="D45" s="4">
        <v>51500</v>
      </c>
      <c r="E45" s="4">
        <v>670000</v>
      </c>
      <c r="F45" s="7">
        <v>772800</v>
      </c>
      <c r="G45" s="7">
        <v>68.7</v>
      </c>
      <c r="H45" s="7">
        <v>95.2</v>
      </c>
      <c r="I45" s="7">
        <v>81.5</v>
      </c>
      <c r="J45" s="7">
        <v>86.6</v>
      </c>
      <c r="K45" s="7">
        <v>96.3</v>
      </c>
    </row>
    <row r="46" spans="1:11" x14ac:dyDescent="0.25">
      <c r="A46" s="4" t="s">
        <v>130</v>
      </c>
      <c r="B46" s="4" t="s">
        <v>539</v>
      </c>
      <c r="C46" s="4" t="s">
        <v>535</v>
      </c>
      <c r="D46" s="4">
        <v>37500</v>
      </c>
      <c r="E46" s="4">
        <v>690000</v>
      </c>
      <c r="F46" s="7">
        <v>582500</v>
      </c>
      <c r="G46" s="7">
        <v>71.900000000000006</v>
      </c>
      <c r="H46" s="7">
        <v>92.1</v>
      </c>
      <c r="I46" s="7">
        <v>79</v>
      </c>
      <c r="J46" s="7">
        <v>93.5</v>
      </c>
      <c r="K46" s="7">
        <v>83.5</v>
      </c>
    </row>
    <row r="47" spans="1:11" x14ac:dyDescent="0.25">
      <c r="A47" s="4" t="s">
        <v>141</v>
      </c>
      <c r="B47" s="4" t="s">
        <v>540</v>
      </c>
      <c r="C47" s="4" t="s">
        <v>535</v>
      </c>
      <c r="D47" s="4">
        <v>35500</v>
      </c>
      <c r="E47" s="4">
        <v>790000</v>
      </c>
      <c r="F47" s="7">
        <v>1032600</v>
      </c>
      <c r="G47" s="7">
        <v>94.6</v>
      </c>
      <c r="H47" s="7">
        <v>97.4</v>
      </c>
      <c r="I47" s="7">
        <v>70</v>
      </c>
      <c r="J47" s="7">
        <v>80.7</v>
      </c>
      <c r="K47" s="7">
        <v>100</v>
      </c>
    </row>
    <row r="48" spans="1:11" x14ac:dyDescent="0.25">
      <c r="A48" s="4" t="s">
        <v>181</v>
      </c>
      <c r="B48" s="4" t="s">
        <v>541</v>
      </c>
      <c r="C48" s="4" t="s">
        <v>535</v>
      </c>
      <c r="D48" s="4">
        <v>62500</v>
      </c>
      <c r="E48" s="4">
        <v>680000</v>
      </c>
      <c r="F48" s="7">
        <v>692100</v>
      </c>
      <c r="G48" s="7">
        <v>76.3</v>
      </c>
      <c r="H48" s="7">
        <v>96.3</v>
      </c>
      <c r="I48" s="7">
        <v>87.2</v>
      </c>
      <c r="J48" s="7">
        <v>88.3</v>
      </c>
      <c r="K48" s="7">
        <v>92.7</v>
      </c>
    </row>
    <row r="49" spans="1:11" x14ac:dyDescent="0.25">
      <c r="A49" s="4" t="s">
        <v>127</v>
      </c>
      <c r="B49" s="4" t="s">
        <v>542</v>
      </c>
      <c r="C49" s="4" t="s">
        <v>535</v>
      </c>
      <c r="D49" s="4">
        <v>45000</v>
      </c>
      <c r="E49" s="4">
        <v>670000</v>
      </c>
      <c r="F49" s="7">
        <v>780200</v>
      </c>
      <c r="G49" s="7">
        <v>73.900000000000006</v>
      </c>
      <c r="H49" s="7">
        <v>97.7</v>
      </c>
      <c r="I49" s="7">
        <v>73</v>
      </c>
      <c r="J49" s="7">
        <v>76.5</v>
      </c>
      <c r="K49" s="7">
        <v>95.7</v>
      </c>
    </row>
    <row r="50" spans="1:11" x14ac:dyDescent="0.25">
      <c r="A50" s="4" t="s">
        <v>345</v>
      </c>
      <c r="B50" s="4" t="s">
        <v>543</v>
      </c>
      <c r="C50" s="4" t="s">
        <v>535</v>
      </c>
      <c r="D50" s="4">
        <v>37000</v>
      </c>
      <c r="E50" s="4">
        <v>660000</v>
      </c>
      <c r="F50" s="7">
        <v>710000</v>
      </c>
      <c r="G50" s="7">
        <v>92.9</v>
      </c>
      <c r="H50" s="7">
        <v>96</v>
      </c>
      <c r="I50" s="7">
        <v>80.2</v>
      </c>
      <c r="J50" s="7">
        <v>86.5</v>
      </c>
      <c r="K50" s="7">
        <v>97.6</v>
      </c>
    </row>
    <row r="51" spans="1:11" x14ac:dyDescent="0.25">
      <c r="A51" s="4" t="s">
        <v>544</v>
      </c>
      <c r="B51" s="4" t="s">
        <v>545</v>
      </c>
      <c r="C51" s="4" t="s">
        <v>535</v>
      </c>
      <c r="D51" s="4">
        <v>62500</v>
      </c>
      <c r="E51" s="4">
        <v>910000</v>
      </c>
      <c r="F51" s="7">
        <v>914100</v>
      </c>
      <c r="G51" s="7">
        <v>71.900000000000006</v>
      </c>
      <c r="H51" s="7">
        <v>89</v>
      </c>
      <c r="I51" s="7">
        <v>79.2</v>
      </c>
      <c r="J51" s="7">
        <v>84.6</v>
      </c>
      <c r="K51" s="7">
        <v>89.1</v>
      </c>
    </row>
    <row r="52" spans="1:11" x14ac:dyDescent="0.25">
      <c r="A52" s="4" t="s">
        <v>154</v>
      </c>
      <c r="B52" s="4" t="s">
        <v>546</v>
      </c>
      <c r="C52" s="4" t="s">
        <v>547</v>
      </c>
      <c r="D52" s="4">
        <v>44500</v>
      </c>
      <c r="E52" s="4">
        <v>840000</v>
      </c>
      <c r="F52" s="7">
        <v>824900</v>
      </c>
      <c r="G52" s="7">
        <v>88.1</v>
      </c>
      <c r="H52" s="7">
        <v>93.1</v>
      </c>
      <c r="I52" s="7">
        <v>85.6</v>
      </c>
      <c r="J52" s="7">
        <v>82.8</v>
      </c>
      <c r="K52" s="7">
        <v>92.1</v>
      </c>
    </row>
    <row r="53" spans="1:11" x14ac:dyDescent="0.25">
      <c r="A53" s="4" t="s">
        <v>548</v>
      </c>
      <c r="B53" s="4" t="s">
        <v>549</v>
      </c>
      <c r="C53" s="4" t="s">
        <v>547</v>
      </c>
      <c r="D53" s="4">
        <v>41500</v>
      </c>
      <c r="E53" s="4">
        <v>730000</v>
      </c>
      <c r="F53" s="7">
        <v>955000</v>
      </c>
      <c r="G53" s="7">
        <v>82.7</v>
      </c>
      <c r="H53" s="7">
        <v>100</v>
      </c>
      <c r="I53" s="7">
        <v>83.5</v>
      </c>
      <c r="J53" s="7">
        <v>82.3</v>
      </c>
      <c r="K53" s="7">
        <v>100</v>
      </c>
    </row>
    <row r="54" spans="1:11" x14ac:dyDescent="0.25">
      <c r="A54" s="4" t="s">
        <v>550</v>
      </c>
      <c r="B54" s="4" t="s">
        <v>551</v>
      </c>
      <c r="C54" s="4" t="s">
        <v>547</v>
      </c>
      <c r="D54" s="4">
        <v>30000</v>
      </c>
      <c r="E54" s="4">
        <v>610000</v>
      </c>
      <c r="F54" s="7">
        <v>499000</v>
      </c>
      <c r="G54" s="7">
        <v>69</v>
      </c>
      <c r="H54" s="7">
        <v>90</v>
      </c>
      <c r="I54" s="7">
        <v>71.2</v>
      </c>
      <c r="J54" s="7">
        <v>87.2</v>
      </c>
      <c r="K54" s="7">
        <v>79.8</v>
      </c>
    </row>
    <row r="55" spans="1:11" x14ac:dyDescent="0.25">
      <c r="A55" s="4" t="s">
        <v>233</v>
      </c>
      <c r="B55" s="4" t="s">
        <v>552</v>
      </c>
      <c r="C55" s="4" t="s">
        <v>547</v>
      </c>
      <c r="D55" s="4">
        <v>46500</v>
      </c>
      <c r="E55" s="4">
        <v>760000</v>
      </c>
      <c r="F55" s="7">
        <v>672800</v>
      </c>
      <c r="G55" s="7">
        <v>83.7</v>
      </c>
      <c r="H55" s="7">
        <v>99.1</v>
      </c>
      <c r="I55" s="7">
        <v>79.099999999999994</v>
      </c>
      <c r="J55" s="7">
        <v>99</v>
      </c>
      <c r="K55" s="7">
        <v>89.2</v>
      </c>
    </row>
    <row r="56" spans="1:11" x14ac:dyDescent="0.25">
      <c r="A56" s="4" t="s">
        <v>139</v>
      </c>
      <c r="B56" s="4" t="s">
        <v>553</v>
      </c>
      <c r="C56" s="4" t="s">
        <v>547</v>
      </c>
      <c r="D56" s="4">
        <v>43000</v>
      </c>
      <c r="E56" s="4">
        <v>840000</v>
      </c>
      <c r="F56" s="7">
        <v>645400</v>
      </c>
      <c r="G56" s="7">
        <v>80.599999999999994</v>
      </c>
      <c r="H56" s="7">
        <v>91.8</v>
      </c>
      <c r="I56" s="7">
        <v>89.4</v>
      </c>
      <c r="J56" s="7">
        <v>66.099999999999994</v>
      </c>
      <c r="K56" s="7">
        <v>78.7</v>
      </c>
    </row>
    <row r="57" spans="1:11" x14ac:dyDescent="0.25">
      <c r="A57" s="4" t="s">
        <v>213</v>
      </c>
      <c r="B57" s="4" t="s">
        <v>554</v>
      </c>
      <c r="C57" s="4" t="s">
        <v>547</v>
      </c>
      <c r="D57" s="4">
        <v>34000</v>
      </c>
      <c r="E57" s="4">
        <v>750000</v>
      </c>
      <c r="F57" s="7">
        <v>540200</v>
      </c>
      <c r="G57" s="7">
        <v>81</v>
      </c>
      <c r="H57" s="7">
        <v>100</v>
      </c>
      <c r="I57" s="7">
        <v>82.3</v>
      </c>
      <c r="J57" s="7">
        <v>73.2</v>
      </c>
      <c r="K57" s="7">
        <v>77.8</v>
      </c>
    </row>
    <row r="58" spans="1:11" x14ac:dyDescent="0.25">
      <c r="A58" s="4" t="s">
        <v>278</v>
      </c>
      <c r="B58" s="4" t="s">
        <v>555</v>
      </c>
      <c r="C58" s="4" t="s">
        <v>547</v>
      </c>
      <c r="D58" s="4">
        <v>41000</v>
      </c>
      <c r="E58" s="4">
        <v>830000</v>
      </c>
      <c r="F58" s="7">
        <v>634500</v>
      </c>
      <c r="G58" s="7">
        <v>97.1</v>
      </c>
      <c r="H58" s="7">
        <v>91.5</v>
      </c>
      <c r="I58" s="7">
        <v>70.599999999999994</v>
      </c>
      <c r="J58" s="7">
        <v>95.8</v>
      </c>
      <c r="K58" s="7">
        <v>84.4</v>
      </c>
    </row>
    <row r="59" spans="1:11" x14ac:dyDescent="0.25">
      <c r="A59" s="4" t="s">
        <v>334</v>
      </c>
      <c r="B59" s="4" t="s">
        <v>556</v>
      </c>
      <c r="C59" s="4" t="s">
        <v>547</v>
      </c>
      <c r="D59" s="4">
        <v>32000</v>
      </c>
      <c r="E59" s="4">
        <v>710000</v>
      </c>
      <c r="F59" s="7">
        <v>825000</v>
      </c>
      <c r="G59" s="7">
        <v>93.5</v>
      </c>
      <c r="H59" s="7">
        <v>90.2</v>
      </c>
      <c r="I59" s="7">
        <v>64.7</v>
      </c>
      <c r="J59" s="7">
        <v>85.1</v>
      </c>
      <c r="K59" s="7">
        <v>99.2</v>
      </c>
    </row>
    <row r="60" spans="1:11" x14ac:dyDescent="0.25">
      <c r="A60" s="4" t="s">
        <v>135</v>
      </c>
      <c r="B60" s="4" t="s">
        <v>557</v>
      </c>
      <c r="C60" s="4" t="s">
        <v>478</v>
      </c>
      <c r="D60" s="4">
        <v>37500</v>
      </c>
      <c r="E60" s="4">
        <v>910000</v>
      </c>
      <c r="F60" s="7">
        <v>946700</v>
      </c>
      <c r="G60" s="7">
        <v>85.3</v>
      </c>
      <c r="H60" s="7">
        <v>99.9</v>
      </c>
      <c r="I60" s="7">
        <v>62.7</v>
      </c>
      <c r="J60" s="7">
        <v>90.9</v>
      </c>
      <c r="K60" s="7">
        <v>93.8</v>
      </c>
    </row>
    <row r="61" spans="1:11" x14ac:dyDescent="0.25">
      <c r="A61" s="4" t="s">
        <v>170</v>
      </c>
      <c r="B61" s="4" t="s">
        <v>558</v>
      </c>
      <c r="C61" s="4" t="s">
        <v>478</v>
      </c>
      <c r="D61" s="4">
        <v>32500</v>
      </c>
      <c r="E61" s="4">
        <v>910000</v>
      </c>
      <c r="F61" s="7">
        <v>712200</v>
      </c>
      <c r="G61" s="7">
        <v>89.7</v>
      </c>
      <c r="H61" s="7">
        <v>92.1</v>
      </c>
      <c r="I61" s="7">
        <v>71.900000000000006</v>
      </c>
      <c r="J61" s="7">
        <v>79.099999999999994</v>
      </c>
      <c r="K61" s="7">
        <v>81.400000000000006</v>
      </c>
    </row>
    <row r="62" spans="1:11" x14ac:dyDescent="0.25">
      <c r="A62" s="4" t="s">
        <v>230</v>
      </c>
      <c r="B62" s="4" t="s">
        <v>559</v>
      </c>
      <c r="C62" s="4" t="s">
        <v>478</v>
      </c>
      <c r="D62" s="4">
        <v>49000</v>
      </c>
      <c r="E62" s="4">
        <v>790000</v>
      </c>
      <c r="F62" s="7">
        <v>568600</v>
      </c>
      <c r="G62" s="7">
        <v>82.4</v>
      </c>
      <c r="H62" s="7">
        <v>90.9</v>
      </c>
      <c r="I62" s="7">
        <v>87.9</v>
      </c>
      <c r="J62" s="7">
        <v>89.1</v>
      </c>
      <c r="K62" s="7">
        <v>80.099999999999994</v>
      </c>
    </row>
    <row r="63" spans="1:11" x14ac:dyDescent="0.25">
      <c r="A63" s="4" t="s">
        <v>560</v>
      </c>
      <c r="B63" s="4" t="s">
        <v>561</v>
      </c>
      <c r="C63" s="4" t="s">
        <v>478</v>
      </c>
      <c r="D63" s="4">
        <v>30500</v>
      </c>
      <c r="E63" s="4">
        <v>860000</v>
      </c>
      <c r="F63" s="7">
        <v>1104100</v>
      </c>
      <c r="G63" s="7">
        <v>85.3</v>
      </c>
      <c r="H63" s="7">
        <v>96.1</v>
      </c>
      <c r="I63" s="7">
        <v>94</v>
      </c>
      <c r="J63" s="7">
        <v>79</v>
      </c>
      <c r="K63" s="7">
        <v>100</v>
      </c>
    </row>
    <row r="64" spans="1:11" x14ac:dyDescent="0.25">
      <c r="A64" s="4" t="s">
        <v>201</v>
      </c>
      <c r="B64" s="4" t="s">
        <v>562</v>
      </c>
      <c r="C64" s="4" t="s">
        <v>478</v>
      </c>
      <c r="D64" s="4">
        <v>34500</v>
      </c>
      <c r="E64" s="4">
        <v>850000</v>
      </c>
      <c r="F64" s="7">
        <v>605300</v>
      </c>
      <c r="G64" s="7">
        <v>83.8</v>
      </c>
      <c r="H64" s="7">
        <v>88.3</v>
      </c>
      <c r="I64" s="7">
        <v>99</v>
      </c>
      <c r="J64" s="7">
        <v>95.6</v>
      </c>
      <c r="K64" s="7">
        <v>81.900000000000006</v>
      </c>
    </row>
    <row r="65" spans="1:11" x14ac:dyDescent="0.25">
      <c r="A65" s="4" t="s">
        <v>205</v>
      </c>
      <c r="B65" s="4" t="s">
        <v>563</v>
      </c>
      <c r="C65" s="4" t="s">
        <v>478</v>
      </c>
      <c r="D65" s="4">
        <v>33000</v>
      </c>
      <c r="E65" s="4">
        <v>910000</v>
      </c>
      <c r="F65" s="7">
        <v>1246300</v>
      </c>
      <c r="G65" s="7">
        <v>82.6</v>
      </c>
      <c r="H65" s="7">
        <v>96.2</v>
      </c>
      <c r="I65" s="7">
        <v>75.400000000000006</v>
      </c>
      <c r="J65" s="7">
        <v>91.1</v>
      </c>
      <c r="K65" s="7">
        <v>100</v>
      </c>
    </row>
    <row r="66" spans="1:11" x14ac:dyDescent="0.25">
      <c r="A66" s="4" t="s">
        <v>564</v>
      </c>
      <c r="B66" s="4" t="s">
        <v>565</v>
      </c>
      <c r="C66" s="4" t="s">
        <v>478</v>
      </c>
      <c r="D66" s="4">
        <v>37000</v>
      </c>
      <c r="E66" s="4">
        <v>760000</v>
      </c>
      <c r="F66" s="7">
        <v>578500</v>
      </c>
      <c r="G66" s="7">
        <v>59.1</v>
      </c>
      <c r="H66" s="7">
        <v>90.8</v>
      </c>
      <c r="I66" s="7">
        <v>65.400000000000006</v>
      </c>
      <c r="J66" s="7">
        <v>95.8</v>
      </c>
      <c r="K66" s="7">
        <v>76.099999999999994</v>
      </c>
    </row>
    <row r="67" spans="1:11" x14ac:dyDescent="0.25">
      <c r="A67" s="4" t="s">
        <v>119</v>
      </c>
      <c r="B67" s="4" t="s">
        <v>566</v>
      </c>
      <c r="C67" s="4" t="s">
        <v>478</v>
      </c>
      <c r="D67" s="4">
        <v>47500</v>
      </c>
      <c r="E67" s="4">
        <v>680000</v>
      </c>
      <c r="F67" s="7">
        <v>888600</v>
      </c>
      <c r="G67" s="7">
        <v>69.400000000000006</v>
      </c>
      <c r="H67" s="7">
        <v>99.2</v>
      </c>
      <c r="I67" s="7">
        <v>89.5</v>
      </c>
      <c r="J67" s="7">
        <v>71.400000000000006</v>
      </c>
      <c r="K67" s="7">
        <v>100</v>
      </c>
    </row>
    <row r="68" spans="1:11" x14ac:dyDescent="0.25">
      <c r="A68" s="4" t="s">
        <v>191</v>
      </c>
      <c r="B68" s="4" t="s">
        <v>567</v>
      </c>
      <c r="C68" s="4" t="s">
        <v>478</v>
      </c>
      <c r="D68" s="4">
        <v>43500</v>
      </c>
      <c r="E68" s="4">
        <v>910000</v>
      </c>
      <c r="F68" s="7">
        <v>827900</v>
      </c>
      <c r="G68" s="7">
        <v>76.8</v>
      </c>
      <c r="H68" s="7">
        <v>97</v>
      </c>
      <c r="I68" s="7">
        <v>67.7</v>
      </c>
      <c r="J68" s="7">
        <v>83.2</v>
      </c>
      <c r="K68" s="7">
        <v>85.3</v>
      </c>
    </row>
    <row r="69" spans="1:11" x14ac:dyDescent="0.25">
      <c r="A69" s="4" t="s">
        <v>239</v>
      </c>
      <c r="B69" s="4" t="s">
        <v>568</v>
      </c>
      <c r="C69" s="4" t="s">
        <v>478</v>
      </c>
      <c r="D69" s="4">
        <v>39000</v>
      </c>
      <c r="E69" s="4">
        <v>740000</v>
      </c>
      <c r="F69" s="7">
        <v>633800</v>
      </c>
      <c r="G69" s="7">
        <v>86.3</v>
      </c>
      <c r="H69" s="7">
        <v>93.1</v>
      </c>
      <c r="I69" s="7">
        <v>74.599999999999994</v>
      </c>
      <c r="J69" s="7">
        <v>82.3</v>
      </c>
      <c r="K69" s="7">
        <v>84.9</v>
      </c>
    </row>
    <row r="70" spans="1:11" x14ac:dyDescent="0.25">
      <c r="A70" s="4" t="s">
        <v>31</v>
      </c>
      <c r="B70" s="4" t="s">
        <v>569</v>
      </c>
      <c r="C70" s="4" t="s">
        <v>478</v>
      </c>
      <c r="D70" s="4">
        <v>44000</v>
      </c>
      <c r="E70" s="4">
        <v>770000</v>
      </c>
      <c r="F70" s="7">
        <v>1036800</v>
      </c>
      <c r="G70" s="7">
        <v>78.2</v>
      </c>
      <c r="H70" s="7">
        <v>89.8</v>
      </c>
      <c r="I70" s="7">
        <v>85.8</v>
      </c>
      <c r="J70" s="7">
        <v>82.9</v>
      </c>
      <c r="K70" s="7">
        <v>100</v>
      </c>
    </row>
    <row r="71" spans="1:11" x14ac:dyDescent="0.25">
      <c r="A71" s="4" t="s">
        <v>177</v>
      </c>
      <c r="B71" s="4" t="s">
        <v>570</v>
      </c>
      <c r="C71" s="4" t="s">
        <v>478</v>
      </c>
      <c r="D71" s="4">
        <v>44500</v>
      </c>
      <c r="E71" s="4">
        <v>670000</v>
      </c>
      <c r="F71" s="7">
        <v>485900</v>
      </c>
      <c r="G71" s="7">
        <v>99</v>
      </c>
      <c r="H71" s="7">
        <v>92.6</v>
      </c>
      <c r="I71" s="7">
        <v>76.2</v>
      </c>
      <c r="J71" s="7">
        <v>85.3</v>
      </c>
      <c r="K71" s="7">
        <v>82.1</v>
      </c>
    </row>
    <row r="72" spans="1:11" x14ac:dyDescent="0.25">
      <c r="A72" s="4" t="s">
        <v>281</v>
      </c>
      <c r="B72" s="4" t="s">
        <v>571</v>
      </c>
      <c r="C72" s="4" t="s">
        <v>478</v>
      </c>
      <c r="D72" s="4">
        <v>44500</v>
      </c>
      <c r="E72" s="4">
        <v>990000</v>
      </c>
      <c r="F72" s="7">
        <v>1278500</v>
      </c>
      <c r="G72" s="7">
        <v>66.900000000000006</v>
      </c>
      <c r="H72" s="7">
        <v>95.1</v>
      </c>
      <c r="I72" s="7">
        <v>99</v>
      </c>
      <c r="J72" s="7">
        <v>85</v>
      </c>
      <c r="K72" s="7">
        <v>100</v>
      </c>
    </row>
    <row r="73" spans="1:11" x14ac:dyDescent="0.25">
      <c r="A73" s="4" t="s">
        <v>572</v>
      </c>
      <c r="B73" s="4" t="s">
        <v>573</v>
      </c>
      <c r="C73" s="4" t="s">
        <v>478</v>
      </c>
      <c r="D73" s="4">
        <v>40000</v>
      </c>
      <c r="E73" s="4">
        <v>780000</v>
      </c>
      <c r="F73" s="7">
        <v>591000</v>
      </c>
      <c r="G73" s="7">
        <v>76.400000000000006</v>
      </c>
      <c r="H73" s="7">
        <v>94.8</v>
      </c>
      <c r="I73" s="7">
        <v>93.3</v>
      </c>
      <c r="J73" s="7">
        <v>81.3</v>
      </c>
      <c r="K73" s="7">
        <v>80.400000000000006</v>
      </c>
    </row>
    <row r="74" spans="1:11" x14ac:dyDescent="0.25">
      <c r="A74" s="4" t="s">
        <v>104</v>
      </c>
      <c r="B74" s="4" t="s">
        <v>574</v>
      </c>
      <c r="C74" s="4" t="s">
        <v>478</v>
      </c>
      <c r="D74" s="4">
        <v>37500</v>
      </c>
      <c r="E74" s="4">
        <v>940000</v>
      </c>
      <c r="F74" s="7">
        <v>1061100</v>
      </c>
      <c r="G74" s="7">
        <v>69.099999999999994</v>
      </c>
      <c r="H74" s="7">
        <v>88.2</v>
      </c>
      <c r="I74" s="7">
        <v>75.2</v>
      </c>
      <c r="J74" s="7">
        <v>95.5</v>
      </c>
      <c r="K74" s="7">
        <v>95.3</v>
      </c>
    </row>
    <row r="75" spans="1:11" x14ac:dyDescent="0.25">
      <c r="A75" s="4" t="s">
        <v>124</v>
      </c>
      <c r="B75" s="4" t="s">
        <v>575</v>
      </c>
      <c r="C75" s="4" t="s">
        <v>478</v>
      </c>
      <c r="D75" s="4">
        <v>43000</v>
      </c>
      <c r="E75" s="4">
        <v>890000</v>
      </c>
      <c r="F75" s="7">
        <v>883200</v>
      </c>
      <c r="G75" s="7">
        <v>84.6</v>
      </c>
      <c r="H75" s="7">
        <v>95.1</v>
      </c>
      <c r="I75" s="7">
        <v>91.1</v>
      </c>
      <c r="J75" s="7">
        <v>79.099999999999994</v>
      </c>
      <c r="K75" s="7">
        <v>92.1</v>
      </c>
    </row>
    <row r="76" spans="1:11" x14ac:dyDescent="0.25">
      <c r="A76" s="4" t="s">
        <v>322</v>
      </c>
      <c r="B76" s="4" t="s">
        <v>576</v>
      </c>
      <c r="C76" s="4" t="s">
        <v>478</v>
      </c>
      <c r="D76" s="4">
        <v>39000</v>
      </c>
      <c r="E76" s="4">
        <v>930000</v>
      </c>
      <c r="F76" s="7">
        <v>1026600</v>
      </c>
      <c r="G76" s="7">
        <v>74.5</v>
      </c>
      <c r="H76" s="7">
        <v>100</v>
      </c>
      <c r="I76" s="7">
        <v>72</v>
      </c>
      <c r="J76" s="7">
        <v>76.900000000000006</v>
      </c>
      <c r="K76" s="7">
        <v>93.3</v>
      </c>
    </row>
    <row r="77" spans="1:11" x14ac:dyDescent="0.25">
      <c r="A77" s="4" t="s">
        <v>132</v>
      </c>
      <c r="B77" s="4" t="s">
        <v>577</v>
      </c>
      <c r="C77" s="4" t="s">
        <v>478</v>
      </c>
      <c r="D77" s="4">
        <v>36000</v>
      </c>
      <c r="E77" s="4">
        <v>760000</v>
      </c>
      <c r="F77" s="7">
        <v>820000</v>
      </c>
      <c r="G77" s="7">
        <v>82.7</v>
      </c>
      <c r="H77" s="7">
        <v>95.3</v>
      </c>
      <c r="I77" s="7">
        <v>82.3</v>
      </c>
      <c r="J77" s="7">
        <v>75.3</v>
      </c>
      <c r="K77" s="7">
        <v>94.1</v>
      </c>
    </row>
    <row r="78" spans="1:11" x14ac:dyDescent="0.25">
      <c r="A78" s="4" t="s">
        <v>173</v>
      </c>
      <c r="B78" s="4" t="s">
        <v>578</v>
      </c>
      <c r="C78" s="4" t="s">
        <v>579</v>
      </c>
      <c r="D78" s="4">
        <v>31500</v>
      </c>
      <c r="E78" s="4">
        <v>570000</v>
      </c>
      <c r="F78" s="7">
        <v>724100</v>
      </c>
      <c r="G78" s="7">
        <v>90</v>
      </c>
      <c r="H78" s="7">
        <v>99.4</v>
      </c>
      <c r="I78" s="7">
        <v>74.7</v>
      </c>
      <c r="J78" s="7">
        <v>87.3</v>
      </c>
      <c r="K78" s="7">
        <v>100</v>
      </c>
    </row>
    <row r="79" spans="1:11" x14ac:dyDescent="0.25">
      <c r="A79" s="4" t="s">
        <v>330</v>
      </c>
      <c r="B79" s="4" t="s">
        <v>580</v>
      </c>
      <c r="C79" s="4" t="s">
        <v>579</v>
      </c>
      <c r="D79" s="4">
        <v>33500</v>
      </c>
      <c r="E79" s="4">
        <v>530000</v>
      </c>
      <c r="F79" s="7">
        <v>538200</v>
      </c>
      <c r="G79" s="7">
        <v>92.2</v>
      </c>
      <c r="H79" s="7">
        <v>98.6</v>
      </c>
      <c r="I79" s="7">
        <v>81.900000000000006</v>
      </c>
      <c r="J79" s="7">
        <v>71.900000000000006</v>
      </c>
      <c r="K79" s="7">
        <v>93</v>
      </c>
    </row>
    <row r="80" spans="1:11" x14ac:dyDescent="0.25">
      <c r="A80" s="4" t="s">
        <v>47</v>
      </c>
      <c r="B80" s="4" t="s">
        <v>581</v>
      </c>
      <c r="C80" s="4" t="s">
        <v>579</v>
      </c>
      <c r="D80" s="4">
        <v>37500</v>
      </c>
      <c r="E80" s="4">
        <v>890000</v>
      </c>
      <c r="F80" s="7">
        <v>1157300</v>
      </c>
      <c r="G80" s="7">
        <v>87</v>
      </c>
      <c r="H80" s="7">
        <v>91.6</v>
      </c>
      <c r="I80" s="7">
        <v>84.1</v>
      </c>
      <c r="J80" s="7">
        <v>71.900000000000006</v>
      </c>
      <c r="K80" s="7">
        <v>100</v>
      </c>
    </row>
    <row r="81" spans="1:11" x14ac:dyDescent="0.25">
      <c r="A81" s="4" t="s">
        <v>87</v>
      </c>
      <c r="B81" s="4" t="s">
        <v>582</v>
      </c>
      <c r="C81" s="4" t="s">
        <v>579</v>
      </c>
      <c r="D81" s="4">
        <v>45500</v>
      </c>
      <c r="E81" s="4">
        <v>670000</v>
      </c>
      <c r="F81" s="7">
        <v>783900</v>
      </c>
      <c r="G81" s="7">
        <v>68.8</v>
      </c>
      <c r="H81" s="7">
        <v>93.1</v>
      </c>
      <c r="I81" s="7">
        <v>82.4</v>
      </c>
      <c r="J81" s="7">
        <v>92.3</v>
      </c>
      <c r="K81" s="7">
        <v>97.8</v>
      </c>
    </row>
    <row r="82" spans="1:11" x14ac:dyDescent="0.25">
      <c r="A82" s="4" t="s">
        <v>109</v>
      </c>
      <c r="B82" s="4" t="s">
        <v>583</v>
      </c>
      <c r="C82" s="4" t="s">
        <v>579</v>
      </c>
      <c r="D82" s="4">
        <v>33500</v>
      </c>
      <c r="E82" s="4">
        <v>860000</v>
      </c>
      <c r="F82" s="7">
        <v>859300</v>
      </c>
      <c r="G82" s="7">
        <v>87.7</v>
      </c>
      <c r="H82" s="7">
        <v>93.9</v>
      </c>
      <c r="I82" s="7">
        <v>79.7</v>
      </c>
      <c r="J82" s="7">
        <v>84.7</v>
      </c>
      <c r="K82" s="7">
        <v>92.6</v>
      </c>
    </row>
    <row r="83" spans="1:11" x14ac:dyDescent="0.25">
      <c r="A83" s="4" t="s">
        <v>55</v>
      </c>
      <c r="B83" s="4" t="s">
        <v>584</v>
      </c>
      <c r="C83" s="4" t="s">
        <v>579</v>
      </c>
      <c r="D83" s="4">
        <v>31000</v>
      </c>
      <c r="E83" s="4">
        <v>630000</v>
      </c>
      <c r="F83" s="7">
        <v>596000</v>
      </c>
      <c r="G83" s="7">
        <v>66.8</v>
      </c>
      <c r="H83" s="7">
        <v>90.9</v>
      </c>
      <c r="I83" s="7">
        <v>82.4</v>
      </c>
      <c r="J83" s="7">
        <v>82</v>
      </c>
      <c r="K83" s="7">
        <v>85.6</v>
      </c>
    </row>
    <row r="84" spans="1:11" x14ac:dyDescent="0.25">
      <c r="A84" s="4" t="s">
        <v>381</v>
      </c>
      <c r="B84" s="4" t="s">
        <v>585</v>
      </c>
      <c r="C84" s="4" t="s">
        <v>579</v>
      </c>
      <c r="D84" s="4">
        <v>39000</v>
      </c>
      <c r="E84" s="4">
        <v>720000</v>
      </c>
      <c r="F84" s="7">
        <v>685400</v>
      </c>
      <c r="G84" s="7">
        <v>79.099999999999994</v>
      </c>
      <c r="H84" s="7">
        <v>90.5</v>
      </c>
      <c r="I84" s="7">
        <v>75.099999999999994</v>
      </c>
      <c r="J84" s="7">
        <v>81.5</v>
      </c>
      <c r="K84" s="7">
        <v>87.4</v>
      </c>
    </row>
    <row r="85" spans="1:11" x14ac:dyDescent="0.25">
      <c r="A85" s="4" t="s">
        <v>371</v>
      </c>
      <c r="B85" s="4" t="s">
        <v>586</v>
      </c>
      <c r="C85" s="4" t="s">
        <v>579</v>
      </c>
      <c r="D85" s="4">
        <v>42000</v>
      </c>
      <c r="E85" s="4">
        <v>760000</v>
      </c>
      <c r="F85" s="7">
        <v>745500</v>
      </c>
      <c r="G85" s="7">
        <v>85.5</v>
      </c>
      <c r="H85" s="7">
        <v>93.3</v>
      </c>
      <c r="I85" s="7">
        <v>69.7</v>
      </c>
      <c r="J85" s="7">
        <v>72.8</v>
      </c>
      <c r="K85" s="7">
        <v>88.5</v>
      </c>
    </row>
    <row r="86" spans="1:11" x14ac:dyDescent="0.25">
      <c r="A86" s="4" t="s">
        <v>261</v>
      </c>
      <c r="B86" s="4" t="s">
        <v>587</v>
      </c>
      <c r="C86" s="4" t="s">
        <v>579</v>
      </c>
      <c r="D86" s="4">
        <v>35000</v>
      </c>
      <c r="E86" s="4">
        <v>520000</v>
      </c>
      <c r="F86" s="7">
        <v>752700</v>
      </c>
      <c r="G86" s="7">
        <v>71.8</v>
      </c>
      <c r="H86" s="7">
        <v>91.9</v>
      </c>
      <c r="I86" s="7">
        <v>85.2</v>
      </c>
      <c r="J86" s="7">
        <v>86.9</v>
      </c>
      <c r="K86" s="7">
        <v>100</v>
      </c>
    </row>
    <row r="87" spans="1:11" x14ac:dyDescent="0.25">
      <c r="A87" s="4" t="s">
        <v>276</v>
      </c>
      <c r="B87" s="4" t="s">
        <v>588</v>
      </c>
      <c r="C87" s="4" t="s">
        <v>579</v>
      </c>
      <c r="D87" s="4">
        <v>42000</v>
      </c>
      <c r="E87" s="4">
        <v>700000</v>
      </c>
      <c r="F87" s="7">
        <v>751600</v>
      </c>
      <c r="G87" s="7">
        <v>78</v>
      </c>
      <c r="H87" s="7">
        <v>95</v>
      </c>
      <c r="I87" s="7">
        <v>80.599999999999994</v>
      </c>
      <c r="J87" s="7">
        <v>81.5</v>
      </c>
      <c r="K87" s="7">
        <v>93.7</v>
      </c>
    </row>
    <row r="88" spans="1:11" x14ac:dyDescent="0.25">
      <c r="A88" s="4" t="s">
        <v>216</v>
      </c>
      <c r="B88" s="4" t="s">
        <v>589</v>
      </c>
      <c r="C88" s="4" t="s">
        <v>590</v>
      </c>
      <c r="D88" s="4">
        <v>32000</v>
      </c>
      <c r="E88" s="4">
        <v>580000</v>
      </c>
      <c r="F88" s="7">
        <v>594000</v>
      </c>
      <c r="G88" s="7">
        <v>91.5</v>
      </c>
      <c r="H88" s="7">
        <v>93.9</v>
      </c>
      <c r="I88" s="7">
        <v>79.8</v>
      </c>
      <c r="J88" s="7">
        <v>92.5</v>
      </c>
      <c r="K88" s="7">
        <v>95.6</v>
      </c>
    </row>
    <row r="89" spans="1:11" x14ac:dyDescent="0.25">
      <c r="A89" s="4" t="s">
        <v>194</v>
      </c>
      <c r="B89" s="4" t="s">
        <v>591</v>
      </c>
      <c r="C89" s="4" t="s">
        <v>590</v>
      </c>
      <c r="D89" s="4">
        <v>39000</v>
      </c>
      <c r="E89" s="4">
        <v>640000</v>
      </c>
      <c r="F89" s="7">
        <v>737900</v>
      </c>
      <c r="G89" s="7">
        <v>96.3</v>
      </c>
      <c r="H89" s="7">
        <v>87</v>
      </c>
      <c r="I89" s="7">
        <v>89.1</v>
      </c>
      <c r="J89" s="7">
        <v>88.8</v>
      </c>
      <c r="K89" s="7">
        <v>100</v>
      </c>
    </row>
    <row r="90" spans="1:11" x14ac:dyDescent="0.25">
      <c r="A90" s="4" t="s">
        <v>592</v>
      </c>
      <c r="B90" s="4" t="s">
        <v>593</v>
      </c>
      <c r="C90" s="4" t="s">
        <v>590</v>
      </c>
      <c r="D90" s="4">
        <v>29000</v>
      </c>
      <c r="E90" s="4">
        <v>460000</v>
      </c>
      <c r="F90" s="7">
        <v>377500</v>
      </c>
      <c r="G90" s="7">
        <v>84.3</v>
      </c>
      <c r="H90" s="7">
        <v>98.2</v>
      </c>
      <c r="I90" s="7">
        <v>71.7</v>
      </c>
      <c r="J90" s="7">
        <v>87.5</v>
      </c>
      <c r="K90" s="7">
        <v>83.9</v>
      </c>
    </row>
    <row r="91" spans="1:11" x14ac:dyDescent="0.25">
      <c r="A91" s="4" t="s">
        <v>342</v>
      </c>
      <c r="B91" s="4" t="s">
        <v>594</v>
      </c>
      <c r="C91" s="4" t="s">
        <v>590</v>
      </c>
      <c r="D91" s="4">
        <v>36000</v>
      </c>
      <c r="E91" s="4">
        <v>740000</v>
      </c>
      <c r="F91" s="7">
        <v>841300</v>
      </c>
      <c r="G91" s="7">
        <v>72.400000000000006</v>
      </c>
      <c r="H91" s="7">
        <v>93.4</v>
      </c>
      <c r="I91" s="7">
        <v>83</v>
      </c>
      <c r="J91" s="7">
        <v>77.599999999999994</v>
      </c>
      <c r="K91" s="7">
        <v>94.9</v>
      </c>
    </row>
    <row r="92" spans="1:11" x14ac:dyDescent="0.25">
      <c r="A92" s="4" t="s">
        <v>595</v>
      </c>
      <c r="B92" s="4" t="s">
        <v>596</v>
      </c>
      <c r="C92" s="4" t="s">
        <v>590</v>
      </c>
      <c r="D92" s="4">
        <v>39500</v>
      </c>
      <c r="E92" s="4">
        <v>540000</v>
      </c>
      <c r="F92" s="7">
        <v>443700</v>
      </c>
      <c r="G92" s="7">
        <v>80.8</v>
      </c>
      <c r="H92" s="7">
        <v>97.2</v>
      </c>
      <c r="I92" s="7">
        <v>86.4</v>
      </c>
      <c r="J92" s="7">
        <v>77.099999999999994</v>
      </c>
      <c r="K92" s="7">
        <v>83.1</v>
      </c>
    </row>
    <row r="93" spans="1:11" x14ac:dyDescent="0.25">
      <c r="A93" s="4" t="s">
        <v>236</v>
      </c>
      <c r="B93" s="4" t="s">
        <v>597</v>
      </c>
      <c r="C93" s="4" t="s">
        <v>590</v>
      </c>
      <c r="D93" s="4">
        <v>33500</v>
      </c>
      <c r="E93" s="4">
        <v>720000</v>
      </c>
      <c r="F93" s="7">
        <v>790100</v>
      </c>
      <c r="G93" s="7">
        <v>74.5</v>
      </c>
      <c r="H93" s="7">
        <v>87.6</v>
      </c>
      <c r="I93" s="7">
        <v>76.3</v>
      </c>
      <c r="J93" s="7">
        <v>93</v>
      </c>
      <c r="K93" s="7">
        <v>94.6</v>
      </c>
    </row>
    <row r="94" spans="1:11" x14ac:dyDescent="0.25">
      <c r="A94" s="4" t="s">
        <v>598</v>
      </c>
      <c r="B94" s="4" t="s">
        <v>599</v>
      </c>
      <c r="C94" s="4" t="s">
        <v>590</v>
      </c>
      <c r="D94" s="4">
        <v>27500</v>
      </c>
      <c r="E94" s="4">
        <v>610000</v>
      </c>
      <c r="F94" s="7">
        <v>669800</v>
      </c>
      <c r="G94" s="7">
        <v>82</v>
      </c>
      <c r="H94" s="7">
        <v>92.3</v>
      </c>
      <c r="I94" s="7">
        <v>76.099999999999994</v>
      </c>
      <c r="J94" s="7">
        <v>84.9</v>
      </c>
      <c r="K94" s="7">
        <v>95.4</v>
      </c>
    </row>
    <row r="95" spans="1:11" x14ac:dyDescent="0.25">
      <c r="A95" s="4" t="s">
        <v>97</v>
      </c>
      <c r="B95" s="4" t="s">
        <v>600</v>
      </c>
      <c r="C95" s="4" t="s">
        <v>590</v>
      </c>
      <c r="D95" s="4">
        <v>32000</v>
      </c>
      <c r="E95" s="4">
        <v>560000</v>
      </c>
      <c r="F95" s="7">
        <v>441100</v>
      </c>
      <c r="G95" s="7">
        <v>78.900000000000006</v>
      </c>
      <c r="H95" s="7">
        <v>93.1</v>
      </c>
      <c r="I95" s="7">
        <v>66.5</v>
      </c>
      <c r="J95" s="7">
        <v>77.3</v>
      </c>
      <c r="K95" s="7">
        <v>78.8</v>
      </c>
    </row>
    <row r="96" spans="1:11" x14ac:dyDescent="0.25">
      <c r="A96" s="4" t="s">
        <v>601</v>
      </c>
      <c r="B96" s="4" t="s">
        <v>602</v>
      </c>
      <c r="C96" s="4" t="s">
        <v>590</v>
      </c>
      <c r="D96" s="4">
        <v>33000</v>
      </c>
      <c r="E96" s="4">
        <v>530000</v>
      </c>
      <c r="F96" s="7">
        <v>558600</v>
      </c>
      <c r="G96" s="7">
        <v>82.1</v>
      </c>
      <c r="H96" s="7">
        <v>92.8</v>
      </c>
      <c r="I96" s="7">
        <v>70.900000000000006</v>
      </c>
      <c r="J96" s="7">
        <v>96.6</v>
      </c>
      <c r="K96" s="7">
        <v>94.7</v>
      </c>
    </row>
  </sheetData>
  <autoFilter ref="A1:K9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showGridLines="0" workbookViewId="0">
      <pane ySplit="1" topLeftCell="A2" activePane="bottomLeft" state="frozen"/>
      <selection activeCell="I10" sqref="I10"/>
      <selection pane="bottomLeft" activeCell="I10" sqref="I10"/>
    </sheetView>
  </sheetViews>
  <sheetFormatPr defaultRowHeight="15" x14ac:dyDescent="0.25"/>
  <cols>
    <col min="1" max="1" width="12" customWidth="1"/>
    <col min="2" max="2" width="18" customWidth="1"/>
    <col min="3" max="3" width="15" customWidth="1"/>
    <col min="4" max="4" width="12" customWidth="1"/>
  </cols>
  <sheetData>
    <row r="1" spans="1:4" ht="24" customHeight="1" x14ac:dyDescent="0.25">
      <c r="A1" s="5" t="s">
        <v>609</v>
      </c>
      <c r="B1" s="5" t="s">
        <v>480</v>
      </c>
      <c r="C1" s="5" t="s">
        <v>610</v>
      </c>
      <c r="D1" s="5" t="s">
        <v>611</v>
      </c>
    </row>
    <row r="2" spans="1:4" x14ac:dyDescent="0.25">
      <c r="A2" s="4" t="s">
        <v>612</v>
      </c>
      <c r="B2" s="4" t="s">
        <v>485</v>
      </c>
      <c r="C2" s="7">
        <v>167933.1</v>
      </c>
      <c r="D2" s="4" t="s">
        <v>463</v>
      </c>
    </row>
    <row r="3" spans="1:4" x14ac:dyDescent="0.25">
      <c r="A3" s="4" t="s">
        <v>612</v>
      </c>
      <c r="B3" s="4" t="s">
        <v>520</v>
      </c>
      <c r="C3" s="7">
        <v>91811.47</v>
      </c>
      <c r="D3" s="4" t="s">
        <v>613</v>
      </c>
    </row>
    <row r="4" spans="1:4" x14ac:dyDescent="0.25">
      <c r="A4" s="4" t="s">
        <v>612</v>
      </c>
      <c r="B4" s="4" t="s">
        <v>535</v>
      </c>
      <c r="C4" s="7">
        <v>201803.8</v>
      </c>
      <c r="D4" s="4" t="s">
        <v>463</v>
      </c>
    </row>
    <row r="5" spans="1:4" x14ac:dyDescent="0.25">
      <c r="A5" s="4" t="s">
        <v>612</v>
      </c>
      <c r="B5" s="4" t="s">
        <v>547</v>
      </c>
      <c r="C5" s="7">
        <v>75217.679999999993</v>
      </c>
      <c r="D5" s="4" t="s">
        <v>614</v>
      </c>
    </row>
    <row r="6" spans="1:4" x14ac:dyDescent="0.25">
      <c r="A6" s="4" t="s">
        <v>612</v>
      </c>
      <c r="B6" s="4" t="s">
        <v>478</v>
      </c>
      <c r="C6" s="7">
        <v>165857.4</v>
      </c>
      <c r="D6" s="4" t="s">
        <v>463</v>
      </c>
    </row>
    <row r="7" spans="1:4" x14ac:dyDescent="0.25">
      <c r="A7" s="4" t="s">
        <v>612</v>
      </c>
      <c r="B7" s="4" t="s">
        <v>579</v>
      </c>
      <c r="C7" s="7">
        <v>115749.33</v>
      </c>
      <c r="D7" s="4" t="s">
        <v>613</v>
      </c>
    </row>
    <row r="8" spans="1:4" x14ac:dyDescent="0.25">
      <c r="A8" s="4" t="s">
        <v>612</v>
      </c>
      <c r="B8" s="4" t="s">
        <v>590</v>
      </c>
      <c r="C8" s="7">
        <v>99947.07</v>
      </c>
      <c r="D8" s="4" t="s">
        <v>615</v>
      </c>
    </row>
    <row r="9" spans="1:4" x14ac:dyDescent="0.25">
      <c r="A9" s="4" t="s">
        <v>616</v>
      </c>
      <c r="B9" s="4" t="s">
        <v>485</v>
      </c>
      <c r="C9" s="7">
        <v>197146.49</v>
      </c>
      <c r="D9" s="4" t="s">
        <v>463</v>
      </c>
    </row>
    <row r="10" spans="1:4" x14ac:dyDescent="0.25">
      <c r="A10" s="4" t="s">
        <v>616</v>
      </c>
      <c r="B10" s="4" t="s">
        <v>520</v>
      </c>
      <c r="C10" s="7">
        <v>102682.81</v>
      </c>
      <c r="D10" s="4" t="s">
        <v>617</v>
      </c>
    </row>
    <row r="11" spans="1:4" x14ac:dyDescent="0.25">
      <c r="A11" s="4" t="s">
        <v>616</v>
      </c>
      <c r="B11" s="4" t="s">
        <v>535</v>
      </c>
      <c r="C11" s="7">
        <v>207815.77</v>
      </c>
      <c r="D11" s="4" t="s">
        <v>615</v>
      </c>
    </row>
    <row r="12" spans="1:4" x14ac:dyDescent="0.25">
      <c r="A12" s="4" t="s">
        <v>616</v>
      </c>
      <c r="B12" s="4" t="s">
        <v>547</v>
      </c>
      <c r="C12" s="7">
        <v>75250.09</v>
      </c>
      <c r="D12" s="4" t="s">
        <v>614</v>
      </c>
    </row>
    <row r="13" spans="1:4" x14ac:dyDescent="0.25">
      <c r="A13" s="4" t="s">
        <v>616</v>
      </c>
      <c r="B13" s="4" t="s">
        <v>478</v>
      </c>
      <c r="C13" s="7">
        <v>188305.06</v>
      </c>
      <c r="D13" s="4" t="s">
        <v>614</v>
      </c>
    </row>
    <row r="14" spans="1:4" x14ac:dyDescent="0.25">
      <c r="A14" s="4" t="s">
        <v>616</v>
      </c>
      <c r="B14" s="4" t="s">
        <v>579</v>
      </c>
      <c r="C14" s="7">
        <v>141803.21</v>
      </c>
      <c r="D14" s="4" t="s">
        <v>613</v>
      </c>
    </row>
    <row r="15" spans="1:4" x14ac:dyDescent="0.25">
      <c r="A15" s="4" t="s">
        <v>616</v>
      </c>
      <c r="B15" s="4" t="s">
        <v>590</v>
      </c>
      <c r="C15" s="7">
        <v>95061.72</v>
      </c>
      <c r="D15" s="4" t="s">
        <v>615</v>
      </c>
    </row>
    <row r="16" spans="1:4" x14ac:dyDescent="0.25">
      <c r="A16" s="4" t="s">
        <v>618</v>
      </c>
      <c r="B16" s="4" t="s">
        <v>485</v>
      </c>
      <c r="C16" s="7">
        <v>171086.64</v>
      </c>
      <c r="D16" s="4" t="s">
        <v>463</v>
      </c>
    </row>
    <row r="17" spans="1:4" x14ac:dyDescent="0.25">
      <c r="A17" s="4" t="s">
        <v>618</v>
      </c>
      <c r="B17" s="4" t="s">
        <v>520</v>
      </c>
      <c r="C17" s="7">
        <v>96887.16</v>
      </c>
      <c r="D17" s="4" t="s">
        <v>463</v>
      </c>
    </row>
    <row r="18" spans="1:4" x14ac:dyDescent="0.25">
      <c r="A18" s="4" t="s">
        <v>618</v>
      </c>
      <c r="B18" s="4" t="s">
        <v>535</v>
      </c>
      <c r="C18" s="7">
        <v>193014.58</v>
      </c>
      <c r="D18" s="4" t="s">
        <v>614</v>
      </c>
    </row>
    <row r="19" spans="1:4" x14ac:dyDescent="0.25">
      <c r="A19" s="4" t="s">
        <v>618</v>
      </c>
      <c r="B19" s="4" t="s">
        <v>547</v>
      </c>
      <c r="C19" s="7">
        <v>81526.36</v>
      </c>
      <c r="D19" s="4" t="s">
        <v>615</v>
      </c>
    </row>
    <row r="20" spans="1:4" x14ac:dyDescent="0.25">
      <c r="A20" s="4" t="s">
        <v>618</v>
      </c>
      <c r="B20" s="4" t="s">
        <v>478</v>
      </c>
      <c r="C20" s="7">
        <v>164279.04000000001</v>
      </c>
      <c r="D20" s="4" t="s">
        <v>615</v>
      </c>
    </row>
    <row r="21" spans="1:4" x14ac:dyDescent="0.25">
      <c r="A21" s="4" t="s">
        <v>618</v>
      </c>
      <c r="B21" s="4" t="s">
        <v>579</v>
      </c>
      <c r="C21" s="7">
        <v>135384.29999999999</v>
      </c>
      <c r="D21" s="4" t="s">
        <v>614</v>
      </c>
    </row>
    <row r="22" spans="1:4" x14ac:dyDescent="0.25">
      <c r="A22" s="4" t="s">
        <v>618</v>
      </c>
      <c r="B22" s="4" t="s">
        <v>590</v>
      </c>
      <c r="C22" s="7">
        <v>97946.13</v>
      </c>
      <c r="D22" s="4" t="s">
        <v>463</v>
      </c>
    </row>
    <row r="23" spans="1:4" x14ac:dyDescent="0.25">
      <c r="A23" s="4" t="s">
        <v>619</v>
      </c>
      <c r="B23" s="4" t="s">
        <v>485</v>
      </c>
      <c r="C23" s="7">
        <v>170930.52</v>
      </c>
      <c r="D23" s="4" t="s">
        <v>614</v>
      </c>
    </row>
    <row r="24" spans="1:4" x14ac:dyDescent="0.25">
      <c r="A24" s="4" t="s">
        <v>619</v>
      </c>
      <c r="B24" s="4" t="s">
        <v>520</v>
      </c>
      <c r="C24" s="7">
        <v>100526.35</v>
      </c>
      <c r="D24" s="4" t="s">
        <v>615</v>
      </c>
    </row>
    <row r="25" spans="1:4" x14ac:dyDescent="0.25">
      <c r="A25" s="4" t="s">
        <v>619</v>
      </c>
      <c r="B25" s="4" t="s">
        <v>535</v>
      </c>
      <c r="C25" s="7">
        <v>205854.81</v>
      </c>
      <c r="D25" s="4" t="s">
        <v>463</v>
      </c>
    </row>
    <row r="26" spans="1:4" x14ac:dyDescent="0.25">
      <c r="A26" s="4" t="s">
        <v>619</v>
      </c>
      <c r="B26" s="4" t="s">
        <v>547</v>
      </c>
      <c r="C26" s="7">
        <v>72534.39</v>
      </c>
      <c r="D26" s="4" t="s">
        <v>617</v>
      </c>
    </row>
    <row r="27" spans="1:4" x14ac:dyDescent="0.25">
      <c r="A27" s="4" t="s">
        <v>619</v>
      </c>
      <c r="B27" s="4" t="s">
        <v>478</v>
      </c>
      <c r="C27" s="7">
        <v>158974.25</v>
      </c>
      <c r="D27" s="4" t="s">
        <v>614</v>
      </c>
    </row>
    <row r="28" spans="1:4" x14ac:dyDescent="0.25">
      <c r="A28" s="4" t="s">
        <v>619</v>
      </c>
      <c r="B28" s="4" t="s">
        <v>579</v>
      </c>
      <c r="C28" s="7">
        <v>132007.43</v>
      </c>
      <c r="D28" s="4" t="s">
        <v>615</v>
      </c>
    </row>
    <row r="29" spans="1:4" x14ac:dyDescent="0.25">
      <c r="A29" s="4" t="s">
        <v>619</v>
      </c>
      <c r="B29" s="4" t="s">
        <v>590</v>
      </c>
      <c r="C29" s="7">
        <v>91753.4</v>
      </c>
      <c r="D29" s="4" t="s">
        <v>615</v>
      </c>
    </row>
    <row r="30" spans="1:4" x14ac:dyDescent="0.25">
      <c r="A30" s="4" t="s">
        <v>620</v>
      </c>
      <c r="B30" s="4" t="s">
        <v>485</v>
      </c>
      <c r="C30" s="7">
        <v>171865.85</v>
      </c>
      <c r="D30" s="4" t="s">
        <v>613</v>
      </c>
    </row>
    <row r="31" spans="1:4" x14ac:dyDescent="0.25">
      <c r="A31" s="4" t="s">
        <v>620</v>
      </c>
      <c r="B31" s="4" t="s">
        <v>520</v>
      </c>
      <c r="C31" s="7">
        <v>85550.17</v>
      </c>
      <c r="D31" s="4" t="s">
        <v>613</v>
      </c>
    </row>
    <row r="32" spans="1:4" x14ac:dyDescent="0.25">
      <c r="A32" s="4" t="s">
        <v>620</v>
      </c>
      <c r="B32" s="4" t="s">
        <v>535</v>
      </c>
      <c r="C32" s="7">
        <v>224200.71</v>
      </c>
      <c r="D32" s="4" t="s">
        <v>614</v>
      </c>
    </row>
    <row r="33" spans="1:4" x14ac:dyDescent="0.25">
      <c r="A33" s="4" t="s">
        <v>620</v>
      </c>
      <c r="B33" s="4" t="s">
        <v>547</v>
      </c>
      <c r="C33" s="7">
        <v>69684.22</v>
      </c>
      <c r="D33" s="4" t="s">
        <v>463</v>
      </c>
    </row>
    <row r="34" spans="1:4" x14ac:dyDescent="0.25">
      <c r="A34" s="4" t="s">
        <v>620</v>
      </c>
      <c r="B34" s="4" t="s">
        <v>478</v>
      </c>
      <c r="C34" s="7">
        <v>137526.17000000001</v>
      </c>
      <c r="D34" s="4" t="s">
        <v>617</v>
      </c>
    </row>
    <row r="35" spans="1:4" x14ac:dyDescent="0.25">
      <c r="A35" s="4" t="s">
        <v>620</v>
      </c>
      <c r="B35" s="4" t="s">
        <v>579</v>
      </c>
      <c r="C35" s="7">
        <v>109542.22</v>
      </c>
      <c r="D35" s="4" t="s">
        <v>617</v>
      </c>
    </row>
    <row r="36" spans="1:4" x14ac:dyDescent="0.25">
      <c r="A36" s="4" t="s">
        <v>620</v>
      </c>
      <c r="B36" s="4" t="s">
        <v>590</v>
      </c>
      <c r="C36" s="7">
        <v>88236.96</v>
      </c>
      <c r="D36" s="4" t="s">
        <v>463</v>
      </c>
    </row>
    <row r="37" spans="1:4" x14ac:dyDescent="0.25">
      <c r="A37" s="4" t="s">
        <v>621</v>
      </c>
      <c r="B37" s="4" t="s">
        <v>485</v>
      </c>
      <c r="C37" s="7">
        <v>199606.15</v>
      </c>
      <c r="D37" s="4" t="s">
        <v>613</v>
      </c>
    </row>
    <row r="38" spans="1:4" x14ac:dyDescent="0.25">
      <c r="A38" s="4" t="s">
        <v>621</v>
      </c>
      <c r="B38" s="4" t="s">
        <v>520</v>
      </c>
      <c r="C38" s="7">
        <v>90116.69</v>
      </c>
      <c r="D38" s="4" t="s">
        <v>615</v>
      </c>
    </row>
    <row r="39" spans="1:4" x14ac:dyDescent="0.25">
      <c r="A39" s="4" t="s">
        <v>621</v>
      </c>
      <c r="B39" s="4" t="s">
        <v>535</v>
      </c>
      <c r="C39" s="7">
        <v>218420.98</v>
      </c>
      <c r="D39" s="4" t="s">
        <v>613</v>
      </c>
    </row>
    <row r="40" spans="1:4" x14ac:dyDescent="0.25">
      <c r="A40" s="4" t="s">
        <v>621</v>
      </c>
      <c r="B40" s="4" t="s">
        <v>547</v>
      </c>
      <c r="C40" s="7">
        <v>78218.929999999993</v>
      </c>
      <c r="D40" s="4" t="s">
        <v>614</v>
      </c>
    </row>
    <row r="41" spans="1:4" x14ac:dyDescent="0.25">
      <c r="A41" s="4" t="s">
        <v>621</v>
      </c>
      <c r="B41" s="4" t="s">
        <v>478</v>
      </c>
      <c r="C41" s="7">
        <v>160719.15</v>
      </c>
      <c r="D41" s="4" t="s">
        <v>613</v>
      </c>
    </row>
    <row r="42" spans="1:4" x14ac:dyDescent="0.25">
      <c r="A42" s="4" t="s">
        <v>621</v>
      </c>
      <c r="B42" s="4" t="s">
        <v>579</v>
      </c>
      <c r="C42" s="7">
        <v>129222.27</v>
      </c>
      <c r="D42" s="4" t="s">
        <v>463</v>
      </c>
    </row>
    <row r="43" spans="1:4" x14ac:dyDescent="0.25">
      <c r="A43" s="4" t="s">
        <v>621</v>
      </c>
      <c r="B43" s="4" t="s">
        <v>590</v>
      </c>
      <c r="C43" s="7">
        <v>108356.21</v>
      </c>
      <c r="D43" s="4" t="s">
        <v>614</v>
      </c>
    </row>
  </sheetData>
  <autoFilter ref="A1:D4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Y181"/>
  <sheetViews>
    <sheetView zoomScaleNormal="100" workbookViewId="0">
      <pane ySplit="1" topLeftCell="A29" activePane="bottomLeft" state="frozen"/>
      <selection pane="bottomLeft" activeCell="E6" sqref="E6"/>
    </sheetView>
  </sheetViews>
  <sheetFormatPr defaultRowHeight="15" x14ac:dyDescent="0.25"/>
  <cols>
    <col min="1" max="1" width="12" customWidth="1"/>
    <col min="2" max="2" width="14" customWidth="1"/>
    <col min="3" max="3" width="9.28515625" bestFit="1" customWidth="1"/>
    <col min="4" max="4" width="14.5703125" customWidth="1"/>
    <col min="5" max="5" width="15.85546875" customWidth="1"/>
    <col min="6" max="7" width="16.28515625" customWidth="1"/>
    <col min="8" max="8" width="15.85546875" customWidth="1"/>
    <col min="9" max="9" width="15.140625" customWidth="1"/>
    <col min="10" max="10" width="17.140625" customWidth="1"/>
    <col min="11" max="11" width="16.28515625" customWidth="1"/>
    <col min="12" max="12" width="14.7109375" customWidth="1"/>
    <col min="13" max="13" width="17.42578125" customWidth="1"/>
    <col min="14" max="14" width="17.140625" customWidth="1"/>
    <col min="15" max="15" width="29" bestFit="1" customWidth="1"/>
    <col min="16" max="16" width="30.7109375" customWidth="1"/>
    <col min="17" max="17" width="16.42578125" bestFit="1" customWidth="1"/>
    <col min="18" max="18" width="26.28515625" customWidth="1"/>
    <col min="19" max="19" width="16" customWidth="1"/>
    <col min="20" max="20" width="15" customWidth="1"/>
    <col min="21" max="21" width="12" customWidth="1"/>
    <col min="22" max="22" width="18.140625" customWidth="1"/>
    <col min="23" max="23" width="12.140625" bestFit="1" customWidth="1"/>
    <col min="24" max="24" width="10.85546875" bestFit="1" customWidth="1"/>
    <col min="25" max="25" width="11.28515625" bestFit="1" customWidth="1"/>
    <col min="30" max="30" width="9.140625" customWidth="1"/>
  </cols>
  <sheetData>
    <row r="1" spans="1:25" ht="24" customHeight="1" x14ac:dyDescent="0.25">
      <c r="A1" s="19" t="s">
        <v>18</v>
      </c>
      <c r="B1" s="20" t="s">
        <v>19</v>
      </c>
      <c r="C1" s="20" t="s">
        <v>609</v>
      </c>
      <c r="D1" s="20" t="s">
        <v>802</v>
      </c>
      <c r="E1" s="20" t="s">
        <v>20</v>
      </c>
      <c r="F1" s="20" t="s">
        <v>21</v>
      </c>
      <c r="G1" s="20" t="s">
        <v>22</v>
      </c>
      <c r="H1" s="20" t="s">
        <v>23</v>
      </c>
      <c r="I1" s="20" t="s">
        <v>24</v>
      </c>
      <c r="J1" s="20" t="s">
        <v>25</v>
      </c>
      <c r="K1" s="20" t="s">
        <v>26</v>
      </c>
      <c r="L1" s="20" t="s">
        <v>27</v>
      </c>
      <c r="M1" s="20" t="s">
        <v>391</v>
      </c>
      <c r="N1" s="21" t="s">
        <v>29</v>
      </c>
      <c r="O1" s="27" t="s">
        <v>479</v>
      </c>
      <c r="P1" s="27" t="s">
        <v>480</v>
      </c>
      <c r="Q1" s="47" t="s">
        <v>389</v>
      </c>
      <c r="R1" s="47" t="s">
        <v>390</v>
      </c>
      <c r="S1" s="47" t="s">
        <v>392</v>
      </c>
      <c r="T1" s="73" t="s">
        <v>451</v>
      </c>
      <c r="U1" s="73" t="s">
        <v>452</v>
      </c>
      <c r="V1" s="74" t="s">
        <v>453</v>
      </c>
      <c r="W1" s="74" t="s">
        <v>454</v>
      </c>
      <c r="X1" s="77" t="s">
        <v>756</v>
      </c>
      <c r="Y1" s="51" t="s">
        <v>659</v>
      </c>
    </row>
    <row r="2" spans="1:25" x14ac:dyDescent="0.25">
      <c r="A2" s="17" t="s">
        <v>30</v>
      </c>
      <c r="B2" s="6">
        <v>45792</v>
      </c>
      <c r="C2" s="100">
        <f>MONTH(Sales[[#This Row],[Sale_Date]])</f>
        <v>5</v>
      </c>
      <c r="D2" s="100" t="str">
        <f>CHOOSE(C2,"January","February","March","April","May","June","July","August","September","October","November","December")</f>
        <v>May</v>
      </c>
      <c r="E2" s="4" t="s">
        <v>31</v>
      </c>
      <c r="F2" s="4" t="s">
        <v>136</v>
      </c>
      <c r="G2" s="4" t="s">
        <v>33</v>
      </c>
      <c r="H2" s="7">
        <v>5</v>
      </c>
      <c r="I2" s="40">
        <v>0.12</v>
      </c>
      <c r="J2" s="7">
        <v>15840</v>
      </c>
      <c r="K2" s="33">
        <v>12000</v>
      </c>
      <c r="L2" s="7">
        <v>3840</v>
      </c>
      <c r="M2" s="4" t="s">
        <v>34</v>
      </c>
      <c r="N2" s="18" t="s">
        <v>35</v>
      </c>
      <c r="O2" t="str">
        <f>INDEX(Employees[#All],MATCH(Sales[[#This Row],[Employee_ID]],Employees[[#All],[Employee_ID]],0),MATCH(Sales[[#Headers],[Employee_Name]],Employees[#Headers],0))</f>
        <v>อัครพล จันทร์โอชา</v>
      </c>
      <c r="P2" t="str">
        <f>INDEX(Employees[#All],MATCH(Sales[[#This Row],[Employee_ID]],Employees[[#All],[Employee_ID]],0),MATCH(Sales[[#Headers],[Department]],Employees[#Headers],0))</f>
        <v>Operations</v>
      </c>
      <c r="Q2" t="str">
        <f>VLOOKUP(Sales[[#This Row],[Customer_ID]],Customer[#All],MATCH(Sales[[#Headers],[Customer_Name]],Customer[#Headers],0),FALSE)</f>
        <v>บริษัท ซันไรส์ จำกัด</v>
      </c>
      <c r="R2" t="str">
        <f>VLOOKUP(Sales[[#This Row],[Customer_ID]],Customer[#All],MATCH(Sales[[#Headers],[Customer_Segment]],Customer[#Headers],0),FALSE)</f>
        <v>Retail Chain</v>
      </c>
      <c r="S2" t="str">
        <f>VLOOKUP(Sales[[#This Row],[Customer_ID]],Customer[#All],MATCH(Sales[[#Headers],[Customer_Tier]],Customer[#Headers],0),FALSE)</f>
        <v>Bronze</v>
      </c>
      <c r="T2" t="str">
        <f>INDEX(Product[#All],MATCH(Sales[[#This Row],[Product_ID]],Product[[#All],[Product_ID]],0),MATCH(Sales[[#Headers],[Product_Name]],Product[#Headers],0))</f>
        <v>USB-C Dock</v>
      </c>
      <c r="U2" t="str">
        <f>INDEX(Product[#All],MATCH(Sales[[#This Row],[Product_ID]],Product[[#All],[Product_ID]],0),MATCH(Sales[[#Headers],[Category]],Product[#Headers],0))</f>
        <v>Accessories</v>
      </c>
      <c r="V2" s="76">
        <f>INDEX(Product[#All],MATCH(Sales[[#This Row],[Product_ID]],Product[[#All],[Product_ID]],0),MATCH(Sales[[#Headers],[Unit_Cost]],Product[#Headers],0))</f>
        <v>2400</v>
      </c>
      <c r="W2" s="76">
        <f>INDEX(Product[#All],MATCH(Sales[[#This Row],[Product_ID]],Product[[#All],[Product_ID]],0),MATCH("List_Price",Product[#Headers],0))</f>
        <v>3600</v>
      </c>
      <c r="X2" s="78">
        <f>Sales[[#This Row],[Quantity]]*(Sales[[#This Row],[List_Price]]*(1-Sales[[#This Row],[Discount]]))</f>
        <v>15840</v>
      </c>
      <c r="Y2" s="150">
        <f>Sales[[#This Row],[Profit]]/Sales[[#This Row],[Cost_Amount]]</f>
        <v>0.32</v>
      </c>
    </row>
    <row r="3" spans="1:25" x14ac:dyDescent="0.25">
      <c r="A3" s="17" t="s">
        <v>36</v>
      </c>
      <c r="B3" s="6">
        <v>45774</v>
      </c>
      <c r="C3" s="100">
        <f>MONTH(Sales[[#This Row],[Sale_Date]])</f>
        <v>4</v>
      </c>
      <c r="D3" s="100" t="str">
        <f t="shared" ref="D3:D66" si="0">CHOOSE(C3,"January","February","March","April","May","June","July","August","September","October","November","December")</f>
        <v>April</v>
      </c>
      <c r="E3" s="4" t="s">
        <v>367</v>
      </c>
      <c r="F3" s="4" t="s">
        <v>38</v>
      </c>
      <c r="G3" s="4" t="s">
        <v>33</v>
      </c>
      <c r="H3" s="7">
        <v>8</v>
      </c>
      <c r="I3" s="40">
        <v>0</v>
      </c>
      <c r="J3" s="7">
        <v>28800</v>
      </c>
      <c r="K3" s="33">
        <v>19200</v>
      </c>
      <c r="L3" s="7">
        <v>9600</v>
      </c>
      <c r="M3" s="4" t="s">
        <v>39</v>
      </c>
      <c r="N3" s="18" t="s">
        <v>35</v>
      </c>
      <c r="O3" t="s">
        <v>536</v>
      </c>
      <c r="P3" t="s">
        <v>535</v>
      </c>
      <c r="Q3" t="s">
        <v>427</v>
      </c>
      <c r="R3" t="s">
        <v>398</v>
      </c>
      <c r="S3" t="s">
        <v>399</v>
      </c>
      <c r="T3" t="s">
        <v>475</v>
      </c>
      <c r="U3" t="str">
        <f>INDEX(Product[#All],MATCH(Sales[[#This Row],[Product_ID]],Product[[#All],[Product_ID]],0),MATCH(Sales[[#Headers],[Category]],Product[#Headers],0))</f>
        <v>Accessories</v>
      </c>
      <c r="V3" s="76">
        <f>INDEX(Product[#All],MATCH(Sales[[#This Row],[Product_ID]],Product[[#All],[Product_ID]],0),MATCH(Sales[[#Headers],[Unit_Cost]],Product[#Headers],0))</f>
        <v>2400</v>
      </c>
      <c r="W3" s="76">
        <f>INDEX(Product[#All],MATCH(Sales[[#This Row],[Product_ID]],Product[[#All],[Product_ID]],0),MATCH("List_Price",Product[#Headers],0))</f>
        <v>3600</v>
      </c>
      <c r="X3" s="78">
        <f>Sales[[#This Row],[Quantity]]*(Sales[[#This Row],[List_Price]]*(1-Sales[[#This Row],[Discount]]))</f>
        <v>28800</v>
      </c>
      <c r="Y3" s="150">
        <f>Sales[[#This Row],[Profit]]/Sales[[#This Row],[Cost_Amount]]</f>
        <v>0.5</v>
      </c>
    </row>
    <row r="4" spans="1:25" x14ac:dyDescent="0.25">
      <c r="A4" s="17" t="s">
        <v>40</v>
      </c>
      <c r="B4" s="6">
        <v>45820</v>
      </c>
      <c r="C4" s="100">
        <f>MONTH(Sales[[#This Row],[Sale_Date]])</f>
        <v>6</v>
      </c>
      <c r="D4" s="100" t="str">
        <f t="shared" si="0"/>
        <v>June</v>
      </c>
      <c r="E4" s="4" t="s">
        <v>41</v>
      </c>
      <c r="F4" s="4" t="s">
        <v>42</v>
      </c>
      <c r="G4" s="4" t="s">
        <v>43</v>
      </c>
      <c r="H4" s="7">
        <v>17</v>
      </c>
      <c r="I4" s="40">
        <v>0.05</v>
      </c>
      <c r="J4" s="7">
        <v>30685</v>
      </c>
      <c r="K4" s="33">
        <v>20400</v>
      </c>
      <c r="L4" s="7">
        <v>10285</v>
      </c>
      <c r="M4" s="4" t="s">
        <v>44</v>
      </c>
      <c r="N4" s="18" t="s">
        <v>45</v>
      </c>
      <c r="O4" t="s">
        <v>534</v>
      </c>
      <c r="P4" t="s">
        <v>535</v>
      </c>
      <c r="Q4" t="s">
        <v>440</v>
      </c>
      <c r="R4" t="s">
        <v>394</v>
      </c>
      <c r="S4" t="s">
        <v>395</v>
      </c>
      <c r="T4" t="s">
        <v>468</v>
      </c>
      <c r="U4" t="str">
        <f>INDEX(Product[#All],MATCH(Sales[[#This Row],[Product_ID]],Product[[#All],[Product_ID]],0),MATCH(Sales[[#Headers],[Category]],Product[#Headers],0))</f>
        <v>Accessories</v>
      </c>
      <c r="V4" s="76">
        <f>INDEX(Product[#All],MATCH(Sales[[#This Row],[Product_ID]],Product[[#All],[Product_ID]],0),MATCH(Sales[[#Headers],[Unit_Cost]],Product[#Headers],0))</f>
        <v>1200</v>
      </c>
      <c r="W4" s="76">
        <f>INDEX(Product[#All],MATCH(Sales[[#This Row],[Product_ID]],Product[[#All],[Product_ID]],0),MATCH("List_Price",Product[#Headers],0))</f>
        <v>1900</v>
      </c>
      <c r="X4" s="78">
        <f>Sales[[#This Row],[Quantity]]*(Sales[[#This Row],[List_Price]]*(1-Sales[[#This Row],[Discount]]))</f>
        <v>30685</v>
      </c>
      <c r="Y4" s="150">
        <f>Sales[[#This Row],[Profit]]/Sales[[#This Row],[Cost_Amount]]</f>
        <v>0.50416666666666665</v>
      </c>
    </row>
    <row r="5" spans="1:25" x14ac:dyDescent="0.25">
      <c r="A5" s="17" t="s">
        <v>46</v>
      </c>
      <c r="B5" s="6">
        <v>45779</v>
      </c>
      <c r="C5" s="100">
        <f>MONTH(Sales[[#This Row],[Sale_Date]])</f>
        <v>5</v>
      </c>
      <c r="D5" s="100" t="str">
        <f t="shared" si="0"/>
        <v>May</v>
      </c>
      <c r="E5" s="4" t="s">
        <v>47</v>
      </c>
      <c r="F5" s="4" t="s">
        <v>48</v>
      </c>
      <c r="G5" s="4" t="s">
        <v>49</v>
      </c>
      <c r="H5" s="7">
        <v>6</v>
      </c>
      <c r="I5" s="40">
        <v>0.12</v>
      </c>
      <c r="J5" s="7">
        <v>25344</v>
      </c>
      <c r="K5" s="33">
        <v>19200</v>
      </c>
      <c r="L5" s="7">
        <v>6144</v>
      </c>
      <c r="M5" s="4" t="s">
        <v>39</v>
      </c>
      <c r="N5" s="18" t="s">
        <v>35</v>
      </c>
      <c r="O5" t="s">
        <v>581</v>
      </c>
      <c r="P5" t="s">
        <v>579</v>
      </c>
      <c r="Q5" t="s">
        <v>424</v>
      </c>
      <c r="R5" t="s">
        <v>398</v>
      </c>
      <c r="S5" t="s">
        <v>402</v>
      </c>
      <c r="T5" t="s">
        <v>472</v>
      </c>
      <c r="U5" t="str">
        <f>INDEX(Product[#All],MATCH(Sales[[#This Row],[Product_ID]],Product[[#All],[Product_ID]],0),MATCH(Sales[[#Headers],[Category]],Product[#Headers],0))</f>
        <v>IT Equipment</v>
      </c>
      <c r="V5" s="76">
        <f>INDEX(Product[#All],MATCH(Sales[[#This Row],[Product_ID]],Product[[#All],[Product_ID]],0),MATCH(Sales[[#Headers],[Unit_Cost]],Product[#Headers],0))</f>
        <v>3200</v>
      </c>
      <c r="W5" s="76">
        <f>INDEX(Product[#All],MATCH(Sales[[#This Row],[Product_ID]],Product[[#All],[Product_ID]],0),MATCH("List_Price",Product[#Headers],0))</f>
        <v>4800</v>
      </c>
      <c r="X5" s="78">
        <f>Sales[[#This Row],[Quantity]]*(Sales[[#This Row],[List_Price]]*(1-Sales[[#This Row],[Discount]]))</f>
        <v>25344</v>
      </c>
      <c r="Y5" s="150">
        <f>Sales[[#This Row],[Profit]]/Sales[[#This Row],[Cost_Amount]]</f>
        <v>0.32</v>
      </c>
    </row>
    <row r="6" spans="1:25" x14ac:dyDescent="0.25">
      <c r="A6" s="17" t="s">
        <v>50</v>
      </c>
      <c r="B6" s="6">
        <v>45665</v>
      </c>
      <c r="C6" s="100">
        <f>MONTH(Sales[[#This Row],[Sale_Date]])</f>
        <v>1</v>
      </c>
      <c r="D6" s="100" t="str">
        <f t="shared" si="0"/>
        <v>January</v>
      </c>
      <c r="E6" s="4" t="s">
        <v>51</v>
      </c>
      <c r="F6" s="4" t="s">
        <v>52</v>
      </c>
      <c r="G6" s="4" t="s">
        <v>53</v>
      </c>
      <c r="H6" s="7">
        <v>3</v>
      </c>
      <c r="I6" s="40">
        <v>0.03</v>
      </c>
      <c r="J6" s="7">
        <v>12222</v>
      </c>
      <c r="K6" s="33">
        <v>8400</v>
      </c>
      <c r="L6" s="7">
        <v>3822</v>
      </c>
      <c r="M6" s="4" t="s">
        <v>39</v>
      </c>
      <c r="N6" s="18" t="s">
        <v>35</v>
      </c>
      <c r="O6" t="s">
        <v>492</v>
      </c>
      <c r="P6" t="s">
        <v>485</v>
      </c>
      <c r="Q6" t="s">
        <v>429</v>
      </c>
      <c r="R6" t="s">
        <v>394</v>
      </c>
      <c r="S6" t="s">
        <v>395</v>
      </c>
      <c r="T6" t="s">
        <v>473</v>
      </c>
      <c r="U6" t="str">
        <f>INDEX(Product[#All],MATCH(Sales[[#This Row],[Product_ID]],Product[[#All],[Product_ID]],0),MATCH(Sales[[#Headers],[Category]],Product[#Headers],0))</f>
        <v>IT Equipment</v>
      </c>
      <c r="V6" s="76">
        <f>INDEX(Product[#All],MATCH(Sales[[#This Row],[Product_ID]],Product[[#All],[Product_ID]],0),MATCH(Sales[[#Headers],[Unit_Cost]],Product[#Headers],0))</f>
        <v>2800</v>
      </c>
      <c r="W6" s="76">
        <f>INDEX(Product[#All],MATCH(Sales[[#This Row],[Product_ID]],Product[[#All],[Product_ID]],0),MATCH("List_Price",Product[#Headers],0))</f>
        <v>4200</v>
      </c>
      <c r="X6" s="78">
        <f>Sales[[#This Row],[Quantity]]*(Sales[[#This Row],[List_Price]]*(1-Sales[[#This Row],[Discount]]))</f>
        <v>12222</v>
      </c>
      <c r="Y6" s="150">
        <f>Sales[[#This Row],[Profit]]/Sales[[#This Row],[Cost_Amount]]</f>
        <v>0.45500000000000002</v>
      </c>
    </row>
    <row r="7" spans="1:25" x14ac:dyDescent="0.25">
      <c r="A7" s="17" t="s">
        <v>54</v>
      </c>
      <c r="B7" s="6">
        <v>45710</v>
      </c>
      <c r="C7" s="100">
        <f>MONTH(Sales[[#This Row],[Sale_Date]])</f>
        <v>2</v>
      </c>
      <c r="D7" s="100" t="str">
        <f t="shared" si="0"/>
        <v>February</v>
      </c>
      <c r="E7" s="4" t="s">
        <v>55</v>
      </c>
      <c r="F7" s="4" t="s">
        <v>56</v>
      </c>
      <c r="G7" s="4" t="s">
        <v>57</v>
      </c>
      <c r="H7" s="7">
        <v>8</v>
      </c>
      <c r="I7" s="40">
        <v>0.1</v>
      </c>
      <c r="J7" s="7">
        <v>37440</v>
      </c>
      <c r="K7" s="33">
        <v>28000</v>
      </c>
      <c r="L7" s="7">
        <v>9440</v>
      </c>
      <c r="M7" s="4" t="s">
        <v>63</v>
      </c>
      <c r="N7" s="18" t="s">
        <v>35</v>
      </c>
      <c r="O7" t="s">
        <v>584</v>
      </c>
      <c r="P7" t="s">
        <v>579</v>
      </c>
      <c r="Q7" t="s">
        <v>417</v>
      </c>
      <c r="R7" t="s">
        <v>398</v>
      </c>
      <c r="S7" t="s">
        <v>399</v>
      </c>
      <c r="T7" t="s">
        <v>477</v>
      </c>
      <c r="U7" t="str">
        <f>INDEX(Product[#All],MATCH(Sales[[#This Row],[Product_ID]],Product[[#All],[Product_ID]],0),MATCH(Sales[[#Headers],[Category]],Product[#Headers],0))</f>
        <v>Operations</v>
      </c>
      <c r="V7" s="76">
        <f>INDEX(Product[#All],MATCH(Sales[[#This Row],[Product_ID]],Product[[#All],[Product_ID]],0),MATCH(Sales[[#Headers],[Unit_Cost]],Product[#Headers],0))</f>
        <v>3500</v>
      </c>
      <c r="W7" s="76">
        <f>INDEX(Product[#All],MATCH(Sales[[#This Row],[Product_ID]],Product[[#All],[Product_ID]],0),MATCH("List_Price",Product[#Headers],0))</f>
        <v>5200</v>
      </c>
      <c r="X7" s="78">
        <f>Sales[[#This Row],[Quantity]]*(Sales[[#This Row],[List_Price]]*(1-Sales[[#This Row],[Discount]]))</f>
        <v>37440</v>
      </c>
      <c r="Y7" s="150">
        <f>Sales[[#This Row],[Profit]]/Sales[[#This Row],[Cost_Amount]]</f>
        <v>0.33714285714285713</v>
      </c>
    </row>
    <row r="8" spans="1:25" x14ac:dyDescent="0.25">
      <c r="A8" s="17" t="s">
        <v>59</v>
      </c>
      <c r="B8" s="6">
        <v>45702</v>
      </c>
      <c r="C8" s="100">
        <f>MONTH(Sales[[#This Row],[Sale_Date]])</f>
        <v>2</v>
      </c>
      <c r="D8" s="100" t="str">
        <f t="shared" si="0"/>
        <v>February</v>
      </c>
      <c r="E8" s="4" t="s">
        <v>60</v>
      </c>
      <c r="F8" s="4" t="s">
        <v>241</v>
      </c>
      <c r="G8" s="4" t="s">
        <v>62</v>
      </c>
      <c r="H8" s="7">
        <v>5</v>
      </c>
      <c r="I8" s="40">
        <v>0.1</v>
      </c>
      <c r="J8" s="7">
        <v>47250</v>
      </c>
      <c r="K8" s="33">
        <v>37500</v>
      </c>
      <c r="L8" s="7">
        <v>9750</v>
      </c>
      <c r="M8" s="4" t="s">
        <v>63</v>
      </c>
      <c r="N8" s="18" t="s">
        <v>35</v>
      </c>
      <c r="O8" t="s">
        <v>504</v>
      </c>
      <c r="P8" t="s">
        <v>485</v>
      </c>
      <c r="Q8" t="s">
        <v>432</v>
      </c>
      <c r="R8" t="s">
        <v>398</v>
      </c>
      <c r="S8" t="s">
        <v>399</v>
      </c>
      <c r="T8" t="s">
        <v>464</v>
      </c>
      <c r="U8" t="str">
        <f>INDEX(Product[#All],MATCH(Sales[[#This Row],[Product_ID]],Product[[#All],[Product_ID]],0),MATCH(Sales[[#Headers],[Category]],Product[#Headers],0))</f>
        <v>Office</v>
      </c>
      <c r="V8" s="76">
        <f>INDEX(Product[#All],MATCH(Sales[[#This Row],[Product_ID]],Product[[#All],[Product_ID]],0),MATCH(Sales[[#Headers],[Unit_Cost]],Product[#Headers],0))</f>
        <v>7500</v>
      </c>
      <c r="W8" s="76">
        <f>INDEX(Product[#All],MATCH(Sales[[#This Row],[Product_ID]],Product[[#All],[Product_ID]],0),MATCH("List_Price",Product[#Headers],0))</f>
        <v>10500</v>
      </c>
      <c r="X8" s="78">
        <f>Sales[[#This Row],[Quantity]]*(Sales[[#This Row],[List_Price]]*(1-Sales[[#This Row],[Discount]]))</f>
        <v>47250</v>
      </c>
      <c r="Y8" s="150">
        <f>Sales[[#This Row],[Profit]]/Sales[[#This Row],[Cost_Amount]]</f>
        <v>0.26</v>
      </c>
    </row>
    <row r="9" spans="1:25" x14ac:dyDescent="0.25">
      <c r="A9" s="17" t="s">
        <v>64</v>
      </c>
      <c r="B9" s="6">
        <v>45754</v>
      </c>
      <c r="C9" s="100">
        <f>MONTH(Sales[[#This Row],[Sale_Date]])</f>
        <v>4</v>
      </c>
      <c r="D9" s="100" t="str">
        <f t="shared" si="0"/>
        <v>April</v>
      </c>
      <c r="E9" s="4" t="s">
        <v>65</v>
      </c>
      <c r="F9" s="4" t="s">
        <v>66</v>
      </c>
      <c r="G9" s="4" t="s">
        <v>67</v>
      </c>
      <c r="H9" s="7">
        <v>9</v>
      </c>
      <c r="I9" s="40">
        <v>0.05</v>
      </c>
      <c r="J9" s="7">
        <v>58140</v>
      </c>
      <c r="K9" s="33">
        <v>40500</v>
      </c>
      <c r="L9" s="7">
        <v>17640</v>
      </c>
      <c r="M9" s="4" t="s">
        <v>63</v>
      </c>
      <c r="N9" s="18" t="s">
        <v>35</v>
      </c>
      <c r="O9" t="s">
        <v>498</v>
      </c>
      <c r="P9" t="s">
        <v>485</v>
      </c>
      <c r="Q9" t="s">
        <v>421</v>
      </c>
      <c r="R9" t="s">
        <v>398</v>
      </c>
      <c r="S9" t="s">
        <v>402</v>
      </c>
      <c r="T9" t="s">
        <v>466</v>
      </c>
      <c r="U9" t="str">
        <f>INDEX(Product[#All],MATCH(Sales[[#This Row],[Product_ID]],Product[[#All],[Product_ID]],0),MATCH(Sales[[#Headers],[Category]],Product[#Headers],0))</f>
        <v>IT Equipment</v>
      </c>
      <c r="V9" s="76">
        <f>INDEX(Product[#All],MATCH(Sales[[#This Row],[Product_ID]],Product[[#All],[Product_ID]],0),MATCH(Sales[[#Headers],[Unit_Cost]],Product[#Headers],0))</f>
        <v>4500</v>
      </c>
      <c r="W9" s="76">
        <f>INDEX(Product[#All],MATCH(Sales[[#This Row],[Product_ID]],Product[[#All],[Product_ID]],0),MATCH("List_Price",Product[#Headers],0))</f>
        <v>6800</v>
      </c>
      <c r="X9" s="78">
        <f>Sales[[#This Row],[Quantity]]*(Sales[[#This Row],[List_Price]]*(1-Sales[[#This Row],[Discount]]))</f>
        <v>58140</v>
      </c>
      <c r="Y9" s="150">
        <f>Sales[[#This Row],[Profit]]/Sales[[#This Row],[Cost_Amount]]</f>
        <v>0.43555555555555553</v>
      </c>
    </row>
    <row r="10" spans="1:25" x14ac:dyDescent="0.25">
      <c r="A10" s="17" t="s">
        <v>68</v>
      </c>
      <c r="B10" s="6">
        <v>45684</v>
      </c>
      <c r="C10" s="100">
        <f>MONTH(Sales[[#This Row],[Sale_Date]])</f>
        <v>1</v>
      </c>
      <c r="D10" s="100" t="str">
        <f t="shared" si="0"/>
        <v>January</v>
      </c>
      <c r="E10" s="4" t="s">
        <v>181</v>
      </c>
      <c r="F10" s="4" t="s">
        <v>70</v>
      </c>
      <c r="G10" s="4" t="s">
        <v>71</v>
      </c>
      <c r="H10" s="7">
        <v>13</v>
      </c>
      <c r="I10" s="40">
        <v>0.08</v>
      </c>
      <c r="J10" s="7">
        <v>86112</v>
      </c>
      <c r="K10" s="33">
        <v>62400</v>
      </c>
      <c r="L10" s="7">
        <v>23712</v>
      </c>
      <c r="M10" s="4" t="s">
        <v>39</v>
      </c>
      <c r="N10" s="18" t="s">
        <v>35</v>
      </c>
      <c r="O10" t="s">
        <v>541</v>
      </c>
      <c r="P10" t="s">
        <v>535</v>
      </c>
      <c r="Q10" t="s">
        <v>411</v>
      </c>
      <c r="R10" t="s">
        <v>409</v>
      </c>
      <c r="S10" t="s">
        <v>402</v>
      </c>
      <c r="T10" t="s">
        <v>462</v>
      </c>
      <c r="U10" t="str">
        <f>INDEX(Product[#All],MATCH(Sales[[#This Row],[Product_ID]],Product[[#All],[Product_ID]],0),MATCH(Sales[[#Headers],[Category]],Product[#Headers],0))</f>
        <v>Office</v>
      </c>
      <c r="V10" s="76">
        <f>INDEX(Product[#All],MATCH(Sales[[#This Row],[Product_ID]],Product[[#All],[Product_ID]],0),MATCH(Sales[[#Headers],[Unit_Cost]],Product[#Headers],0))</f>
        <v>4800</v>
      </c>
      <c r="W10" s="76">
        <f>INDEX(Product[#All],MATCH(Sales[[#This Row],[Product_ID]],Product[[#All],[Product_ID]],0),MATCH("List_Price",Product[#Headers],0))</f>
        <v>7200</v>
      </c>
      <c r="X10" s="78">
        <f>Sales[[#This Row],[Quantity]]*(Sales[[#This Row],[List_Price]]*(1-Sales[[#This Row],[Discount]]))</f>
        <v>86112</v>
      </c>
      <c r="Y10" s="150">
        <f>Sales[[#This Row],[Profit]]/Sales[[#This Row],[Cost_Amount]]</f>
        <v>0.38</v>
      </c>
    </row>
    <row r="11" spans="1:25" x14ac:dyDescent="0.25">
      <c r="A11" s="17" t="s">
        <v>72</v>
      </c>
      <c r="B11" s="6">
        <v>45833</v>
      </c>
      <c r="C11" s="100">
        <f>MONTH(Sales[[#This Row],[Sale_Date]])</f>
        <v>6</v>
      </c>
      <c r="D11" s="100" t="str">
        <f t="shared" si="0"/>
        <v>June</v>
      </c>
      <c r="E11" s="4" t="s">
        <v>73</v>
      </c>
      <c r="F11" s="4" t="s">
        <v>74</v>
      </c>
      <c r="G11" s="4" t="s">
        <v>53</v>
      </c>
      <c r="H11" s="7">
        <v>10</v>
      </c>
      <c r="I11" s="40">
        <v>0.03</v>
      </c>
      <c r="J11" s="7">
        <v>40740</v>
      </c>
      <c r="K11" s="33">
        <v>28000</v>
      </c>
      <c r="L11" s="7">
        <v>12740</v>
      </c>
      <c r="M11" s="4" t="s">
        <v>63</v>
      </c>
      <c r="N11" s="18" t="s">
        <v>35</v>
      </c>
      <c r="O11" t="s">
        <v>518</v>
      </c>
      <c r="P11" t="s">
        <v>485</v>
      </c>
      <c r="Q11" t="s">
        <v>431</v>
      </c>
      <c r="R11" t="s">
        <v>398</v>
      </c>
      <c r="S11" t="s">
        <v>402</v>
      </c>
      <c r="T11" t="s">
        <v>473</v>
      </c>
      <c r="U11" t="str">
        <f>INDEX(Product[#All],MATCH(Sales[[#This Row],[Product_ID]],Product[[#All],[Product_ID]],0),MATCH(Sales[[#Headers],[Category]],Product[#Headers],0))</f>
        <v>IT Equipment</v>
      </c>
      <c r="V11" s="76">
        <f>INDEX(Product[#All],MATCH(Sales[[#This Row],[Product_ID]],Product[[#All],[Product_ID]],0),MATCH(Sales[[#Headers],[Unit_Cost]],Product[#Headers],0))</f>
        <v>2800</v>
      </c>
      <c r="W11" s="76">
        <f>INDEX(Product[#All],MATCH(Sales[[#This Row],[Product_ID]],Product[[#All],[Product_ID]],0),MATCH("List_Price",Product[#Headers],0))</f>
        <v>4200</v>
      </c>
      <c r="X11" s="78">
        <f>Sales[[#This Row],[Quantity]]*(Sales[[#This Row],[List_Price]]*(1-Sales[[#This Row],[Discount]]))</f>
        <v>40740</v>
      </c>
      <c r="Y11" s="150">
        <f>Sales[[#This Row],[Profit]]/Sales[[#This Row],[Cost_Amount]]</f>
        <v>0.45500000000000002</v>
      </c>
    </row>
    <row r="12" spans="1:25" x14ac:dyDescent="0.25">
      <c r="A12" s="17" t="s">
        <v>75</v>
      </c>
      <c r="B12" s="6">
        <v>45824</v>
      </c>
      <c r="C12" s="100">
        <f>MONTH(Sales[[#This Row],[Sale_Date]])</f>
        <v>6</v>
      </c>
      <c r="D12" s="100" t="str">
        <f t="shared" si="0"/>
        <v>June</v>
      </c>
      <c r="E12" s="4" t="s">
        <v>76</v>
      </c>
      <c r="F12" s="4" t="s">
        <v>77</v>
      </c>
      <c r="G12" s="4" t="s">
        <v>78</v>
      </c>
      <c r="H12" s="7">
        <v>9</v>
      </c>
      <c r="I12" s="40">
        <v>0.1</v>
      </c>
      <c r="J12" s="7">
        <v>72900</v>
      </c>
      <c r="K12" s="33">
        <v>58500</v>
      </c>
      <c r="L12" s="7">
        <v>14400</v>
      </c>
      <c r="M12" s="4" t="s">
        <v>63</v>
      </c>
      <c r="N12" s="18" t="s">
        <v>35</v>
      </c>
      <c r="O12" t="s">
        <v>497</v>
      </c>
      <c r="P12" t="s">
        <v>485</v>
      </c>
      <c r="Q12" t="s">
        <v>410</v>
      </c>
      <c r="R12" t="s">
        <v>409</v>
      </c>
      <c r="S12" t="s">
        <v>402</v>
      </c>
      <c r="T12" t="s">
        <v>465</v>
      </c>
      <c r="U12" t="str">
        <f>INDEX(Product[#All],MATCH(Sales[[#This Row],[Product_ID]],Product[[#All],[Product_ID]],0),MATCH(Sales[[#Headers],[Category]],Product[#Headers],0))</f>
        <v>Office</v>
      </c>
      <c r="V12" s="76">
        <f>INDEX(Product[#All],MATCH(Sales[[#This Row],[Product_ID]],Product[[#All],[Product_ID]],0),MATCH(Sales[[#Headers],[Unit_Cost]],Product[#Headers],0))</f>
        <v>6500</v>
      </c>
      <c r="W12" s="76">
        <f>INDEX(Product[#All],MATCH(Sales[[#This Row],[Product_ID]],Product[[#All],[Product_ID]],0),MATCH("List_Price",Product[#Headers],0))</f>
        <v>9000</v>
      </c>
      <c r="X12" s="78">
        <f>Sales[[#This Row],[Quantity]]*(Sales[[#This Row],[List_Price]]*(1-Sales[[#This Row],[Discount]]))</f>
        <v>72900</v>
      </c>
      <c r="Y12" s="150">
        <f>Sales[[#This Row],[Profit]]/Sales[[#This Row],[Cost_Amount]]</f>
        <v>0.24615384615384617</v>
      </c>
    </row>
    <row r="13" spans="1:25" x14ac:dyDescent="0.25">
      <c r="A13" s="17" t="s">
        <v>79</v>
      </c>
      <c r="B13" s="6">
        <v>45739</v>
      </c>
      <c r="C13" s="100">
        <f>MONTH(Sales[[#This Row],[Sale_Date]])</f>
        <v>3</v>
      </c>
      <c r="D13" s="100" t="str">
        <f t="shared" si="0"/>
        <v>March</v>
      </c>
      <c r="E13" s="4" t="s">
        <v>80</v>
      </c>
      <c r="F13" s="4" t="s">
        <v>70</v>
      </c>
      <c r="G13" s="4" t="s">
        <v>81</v>
      </c>
      <c r="H13" s="7">
        <v>13</v>
      </c>
      <c r="I13" s="40">
        <v>0.1</v>
      </c>
      <c r="J13" s="7">
        <v>105300</v>
      </c>
      <c r="K13" s="33">
        <v>84500</v>
      </c>
      <c r="L13" s="7">
        <v>20800</v>
      </c>
      <c r="M13" s="4" t="s">
        <v>39</v>
      </c>
      <c r="N13" s="18" t="s">
        <v>35</v>
      </c>
      <c r="O13" t="s">
        <v>484</v>
      </c>
      <c r="P13" t="s">
        <v>485</v>
      </c>
      <c r="Q13" t="s">
        <v>411</v>
      </c>
      <c r="R13" t="s">
        <v>409</v>
      </c>
      <c r="S13" t="s">
        <v>402</v>
      </c>
      <c r="T13" t="s">
        <v>470</v>
      </c>
      <c r="U13" t="str">
        <f>INDEX(Product[#All],MATCH(Sales[[#This Row],[Product_ID]],Product[[#All],[Product_ID]],0),MATCH(Sales[[#Headers],[Category]],Product[#Headers],0))</f>
        <v>IT Equipment</v>
      </c>
      <c r="V13" s="76">
        <f>INDEX(Product[#All],MATCH(Sales[[#This Row],[Product_ID]],Product[[#All],[Product_ID]],0),MATCH(Sales[[#Headers],[Unit_Cost]],Product[#Headers],0))</f>
        <v>6500</v>
      </c>
      <c r="W13" s="76">
        <f>INDEX(Product[#All],MATCH(Sales[[#This Row],[Product_ID]],Product[[#All],[Product_ID]],0),MATCH("List_Price",Product[#Headers],0))</f>
        <v>9000</v>
      </c>
      <c r="X13" s="78">
        <f>Sales[[#This Row],[Quantity]]*(Sales[[#This Row],[List_Price]]*(1-Sales[[#This Row],[Discount]]))</f>
        <v>105300</v>
      </c>
      <c r="Y13" s="150">
        <f>Sales[[#This Row],[Profit]]/Sales[[#This Row],[Cost_Amount]]</f>
        <v>0.24615384615384617</v>
      </c>
    </row>
    <row r="14" spans="1:25" x14ac:dyDescent="0.25">
      <c r="A14" s="17" t="s">
        <v>82</v>
      </c>
      <c r="B14" s="6">
        <v>45757</v>
      </c>
      <c r="C14" s="100">
        <f>MONTH(Sales[[#This Row],[Sale_Date]])</f>
        <v>4</v>
      </c>
      <c r="D14" s="100" t="str">
        <f t="shared" si="0"/>
        <v>April</v>
      </c>
      <c r="E14" s="4" t="s">
        <v>83</v>
      </c>
      <c r="F14" s="4" t="s">
        <v>84</v>
      </c>
      <c r="G14" s="4" t="s">
        <v>85</v>
      </c>
      <c r="H14" s="7">
        <v>14</v>
      </c>
      <c r="I14" s="40">
        <v>0.05</v>
      </c>
      <c r="J14" s="7">
        <v>86450</v>
      </c>
      <c r="K14" s="33">
        <v>58800</v>
      </c>
      <c r="L14" s="7">
        <v>27650</v>
      </c>
      <c r="M14" s="4" t="s">
        <v>44</v>
      </c>
      <c r="N14" s="18" t="s">
        <v>35</v>
      </c>
      <c r="O14" t="s">
        <v>523</v>
      </c>
      <c r="P14" t="s">
        <v>520</v>
      </c>
      <c r="Q14" t="s">
        <v>439</v>
      </c>
      <c r="R14" t="s">
        <v>409</v>
      </c>
      <c r="S14" t="s">
        <v>395</v>
      </c>
      <c r="T14" t="s">
        <v>474</v>
      </c>
      <c r="U14" t="str">
        <f>INDEX(Product[#All],MATCH(Sales[[#This Row],[Product_ID]],Product[[#All],[Product_ID]],0),MATCH(Sales[[#Headers],[Category]],Product[#Headers],0))</f>
        <v>Office</v>
      </c>
      <c r="V14" s="76">
        <f>INDEX(Product[#All],MATCH(Sales[[#This Row],[Product_ID]],Product[[#All],[Product_ID]],0),MATCH(Sales[[#Headers],[Unit_Cost]],Product[#Headers],0))</f>
        <v>4200</v>
      </c>
      <c r="W14" s="76">
        <f>INDEX(Product[#All],MATCH(Sales[[#This Row],[Product_ID]],Product[[#All],[Product_ID]],0),MATCH("List_Price",Product[#Headers],0))</f>
        <v>6500</v>
      </c>
      <c r="X14" s="78">
        <f>Sales[[#This Row],[Quantity]]*(Sales[[#This Row],[List_Price]]*(1-Sales[[#This Row],[Discount]]))</f>
        <v>86450</v>
      </c>
      <c r="Y14" s="150">
        <f>Sales[[#This Row],[Profit]]/Sales[[#This Row],[Cost_Amount]]</f>
        <v>0.47023809523809523</v>
      </c>
    </row>
    <row r="15" spans="1:25" x14ac:dyDescent="0.25">
      <c r="A15" s="17" t="s">
        <v>86</v>
      </c>
      <c r="B15" s="6">
        <v>45794</v>
      </c>
      <c r="C15" s="100">
        <f>MONTH(Sales[[#This Row],[Sale_Date]])</f>
        <v>5</v>
      </c>
      <c r="D15" s="100" t="str">
        <f t="shared" si="0"/>
        <v>May</v>
      </c>
      <c r="E15" s="4" t="s">
        <v>87</v>
      </c>
      <c r="F15" s="4" t="s">
        <v>88</v>
      </c>
      <c r="G15" s="4" t="s">
        <v>78</v>
      </c>
      <c r="H15" s="7">
        <v>8</v>
      </c>
      <c r="I15" s="40">
        <v>0.1</v>
      </c>
      <c r="J15" s="7">
        <v>64800</v>
      </c>
      <c r="K15" s="33">
        <v>52000</v>
      </c>
      <c r="L15" s="7">
        <v>12800</v>
      </c>
      <c r="M15" s="4" t="s">
        <v>44</v>
      </c>
      <c r="N15" s="18" t="s">
        <v>35</v>
      </c>
      <c r="O15" t="s">
        <v>582</v>
      </c>
      <c r="P15" t="s">
        <v>579</v>
      </c>
      <c r="Q15" t="s">
        <v>442</v>
      </c>
      <c r="R15" t="s">
        <v>409</v>
      </c>
      <c r="S15" t="s">
        <v>402</v>
      </c>
      <c r="T15" t="s">
        <v>465</v>
      </c>
      <c r="U15" t="str">
        <f>INDEX(Product[#All],MATCH(Sales[[#This Row],[Product_ID]],Product[[#All],[Product_ID]],0),MATCH(Sales[[#Headers],[Category]],Product[#Headers],0))</f>
        <v>Office</v>
      </c>
      <c r="V15" s="76">
        <f>INDEX(Product[#All],MATCH(Sales[[#This Row],[Product_ID]],Product[[#All],[Product_ID]],0),MATCH(Sales[[#Headers],[Unit_Cost]],Product[#Headers],0))</f>
        <v>6500</v>
      </c>
      <c r="W15" s="76">
        <f>INDEX(Product[#All],MATCH(Sales[[#This Row],[Product_ID]],Product[[#All],[Product_ID]],0),MATCH("List_Price",Product[#Headers],0))</f>
        <v>9000</v>
      </c>
      <c r="X15" s="78">
        <f>Sales[[#This Row],[Quantity]]*(Sales[[#This Row],[List_Price]]*(1-Sales[[#This Row],[Discount]]))</f>
        <v>64800</v>
      </c>
      <c r="Y15" s="150">
        <f>Sales[[#This Row],[Profit]]/Sales[[#This Row],[Cost_Amount]]</f>
        <v>0.24615384615384617</v>
      </c>
    </row>
    <row r="16" spans="1:25" x14ac:dyDescent="0.25">
      <c r="A16" s="17" t="s">
        <v>89</v>
      </c>
      <c r="B16" s="6">
        <v>45826</v>
      </c>
      <c r="C16" s="100">
        <f>MONTH(Sales[[#This Row],[Sale_Date]])</f>
        <v>6</v>
      </c>
      <c r="D16" s="100" t="str">
        <f t="shared" si="0"/>
        <v>June</v>
      </c>
      <c r="E16" s="4" t="s">
        <v>76</v>
      </c>
      <c r="F16" s="4" t="s">
        <v>90</v>
      </c>
      <c r="G16" s="4" t="s">
        <v>91</v>
      </c>
      <c r="H16" s="7">
        <v>6</v>
      </c>
      <c r="I16" s="40">
        <v>0.12</v>
      </c>
      <c r="J16" s="7">
        <v>17952</v>
      </c>
      <c r="K16" s="33">
        <v>13200</v>
      </c>
      <c r="L16" s="7">
        <v>4752</v>
      </c>
      <c r="M16" s="4" t="s">
        <v>63</v>
      </c>
      <c r="N16" s="18" t="s">
        <v>35</v>
      </c>
      <c r="O16" t="s">
        <v>497</v>
      </c>
      <c r="P16" t="s">
        <v>485</v>
      </c>
      <c r="Q16" t="s">
        <v>407</v>
      </c>
      <c r="R16" t="s">
        <v>398</v>
      </c>
      <c r="S16" t="s">
        <v>402</v>
      </c>
      <c r="T16" t="s">
        <v>467</v>
      </c>
      <c r="U16" t="str">
        <f>INDEX(Product[#All],MATCH(Sales[[#This Row],[Product_ID]],Product[[#All],[Product_ID]],0),MATCH(Sales[[#Headers],[Category]],Product[#Headers],0))</f>
        <v>IT Equipment</v>
      </c>
      <c r="V16" s="76">
        <f>INDEX(Product[#All],MATCH(Sales[[#This Row],[Product_ID]],Product[[#All],[Product_ID]],0),MATCH(Sales[[#Headers],[Unit_Cost]],Product[#Headers],0))</f>
        <v>2200</v>
      </c>
      <c r="W16" s="76">
        <f>INDEX(Product[#All],MATCH(Sales[[#This Row],[Product_ID]],Product[[#All],[Product_ID]],0),MATCH("List_Price",Product[#Headers],0))</f>
        <v>3400</v>
      </c>
      <c r="X16" s="78">
        <f>Sales[[#This Row],[Quantity]]*(Sales[[#This Row],[List_Price]]*(1-Sales[[#This Row],[Discount]]))</f>
        <v>17952</v>
      </c>
      <c r="Y16" s="150">
        <f>Sales[[#This Row],[Profit]]/Sales[[#This Row],[Cost_Amount]]</f>
        <v>0.36</v>
      </c>
    </row>
    <row r="17" spans="1:25" x14ac:dyDescent="0.25">
      <c r="A17" s="17" t="s">
        <v>92</v>
      </c>
      <c r="B17" s="6">
        <v>45704</v>
      </c>
      <c r="C17" s="100">
        <f>MONTH(Sales[[#This Row],[Sale_Date]])</f>
        <v>2</v>
      </c>
      <c r="D17" s="100" t="str">
        <f t="shared" si="0"/>
        <v>February</v>
      </c>
      <c r="E17" s="4" t="s">
        <v>93</v>
      </c>
      <c r="F17" s="4" t="s">
        <v>94</v>
      </c>
      <c r="G17" s="4" t="s">
        <v>95</v>
      </c>
      <c r="H17" s="7">
        <v>18</v>
      </c>
      <c r="I17" s="40">
        <v>0.12</v>
      </c>
      <c r="J17" s="7">
        <v>823680</v>
      </c>
      <c r="K17" s="33">
        <v>756000</v>
      </c>
      <c r="L17" s="7">
        <v>67680</v>
      </c>
      <c r="M17" s="4" t="s">
        <v>63</v>
      </c>
      <c r="N17" s="18" t="s">
        <v>35</v>
      </c>
      <c r="O17" t="s">
        <v>500</v>
      </c>
      <c r="P17" t="s">
        <v>485</v>
      </c>
      <c r="Q17" t="s">
        <v>435</v>
      </c>
      <c r="R17" t="s">
        <v>398</v>
      </c>
      <c r="S17" t="s">
        <v>399</v>
      </c>
      <c r="T17" t="s">
        <v>455</v>
      </c>
      <c r="U17" t="str">
        <f>INDEX(Product[#All],MATCH(Sales[[#This Row],[Product_ID]],Product[[#All],[Product_ID]],0),MATCH(Sales[[#Headers],[Category]],Product[#Headers],0))</f>
        <v>IT Equipment</v>
      </c>
      <c r="V17" s="76">
        <f>INDEX(Product[#All],MATCH(Sales[[#This Row],[Product_ID]],Product[[#All],[Product_ID]],0),MATCH(Sales[[#Headers],[Unit_Cost]],Product[#Headers],0))</f>
        <v>42000</v>
      </c>
      <c r="W17" s="76">
        <f>INDEX(Product[#All],MATCH(Sales[[#This Row],[Product_ID]],Product[[#All],[Product_ID]],0),MATCH("List_Price",Product[#Headers],0))</f>
        <v>52000</v>
      </c>
      <c r="X17" s="78">
        <f>Sales[[#This Row],[Quantity]]*(Sales[[#This Row],[List_Price]]*(1-Sales[[#This Row],[Discount]]))</f>
        <v>823680</v>
      </c>
      <c r="Y17" s="150">
        <f>Sales[[#This Row],[Profit]]/Sales[[#This Row],[Cost_Amount]]</f>
        <v>8.9523809523809519E-2</v>
      </c>
    </row>
    <row r="18" spans="1:25" x14ac:dyDescent="0.25">
      <c r="A18" s="17" t="s">
        <v>96</v>
      </c>
      <c r="B18" s="6">
        <v>45742</v>
      </c>
      <c r="C18" s="100">
        <f>MONTH(Sales[[#This Row],[Sale_Date]])</f>
        <v>3</v>
      </c>
      <c r="D18" s="100" t="str">
        <f t="shared" si="0"/>
        <v>March</v>
      </c>
      <c r="E18" s="4" t="s">
        <v>97</v>
      </c>
      <c r="F18" s="4" t="s">
        <v>98</v>
      </c>
      <c r="G18" s="4" t="s">
        <v>99</v>
      </c>
      <c r="H18" s="7">
        <v>10</v>
      </c>
      <c r="I18" s="40">
        <v>0.05</v>
      </c>
      <c r="J18" s="7">
        <v>361000</v>
      </c>
      <c r="K18" s="33">
        <v>300000</v>
      </c>
      <c r="L18" s="7">
        <v>61000</v>
      </c>
      <c r="M18" s="4" t="s">
        <v>39</v>
      </c>
      <c r="N18" s="18" t="s">
        <v>35</v>
      </c>
      <c r="O18" t="s">
        <v>600</v>
      </c>
      <c r="P18" t="s">
        <v>590</v>
      </c>
      <c r="Q18" t="s">
        <v>428</v>
      </c>
      <c r="R18" t="s">
        <v>409</v>
      </c>
      <c r="S18" t="s">
        <v>399</v>
      </c>
      <c r="T18" t="s">
        <v>457</v>
      </c>
      <c r="U18" t="str">
        <f>INDEX(Product[#All],MATCH(Sales[[#This Row],[Product_ID]],Product[[#All],[Product_ID]],0),MATCH(Sales[[#Headers],[Category]],Product[#Headers],0))</f>
        <v>IT Equipment</v>
      </c>
      <c r="V18" s="76">
        <f>INDEX(Product[#All],MATCH(Sales[[#This Row],[Product_ID]],Product[[#All],[Product_ID]],0),MATCH(Sales[[#Headers],[Unit_Cost]],Product[#Headers],0))</f>
        <v>30000</v>
      </c>
      <c r="W18" s="76">
        <f>INDEX(Product[#All],MATCH(Sales[[#This Row],[Product_ID]],Product[[#All],[Product_ID]],0),MATCH("List_Price",Product[#Headers],0))</f>
        <v>38000</v>
      </c>
      <c r="X18" s="78">
        <f>Sales[[#This Row],[Quantity]]*(Sales[[#This Row],[List_Price]]*(1-Sales[[#This Row],[Discount]]))</f>
        <v>361000</v>
      </c>
      <c r="Y18" s="150">
        <f>Sales[[#This Row],[Profit]]/Sales[[#This Row],[Cost_Amount]]</f>
        <v>0.20333333333333334</v>
      </c>
    </row>
    <row r="19" spans="1:25" x14ac:dyDescent="0.25">
      <c r="A19" s="17" t="s">
        <v>100</v>
      </c>
      <c r="B19" s="6">
        <v>45707</v>
      </c>
      <c r="C19" s="100">
        <f>MONTH(Sales[[#This Row],[Sale_Date]])</f>
        <v>2</v>
      </c>
      <c r="D19" s="100" t="str">
        <f t="shared" si="0"/>
        <v>February</v>
      </c>
      <c r="E19" s="4" t="s">
        <v>93</v>
      </c>
      <c r="F19" s="4" t="s">
        <v>101</v>
      </c>
      <c r="G19" s="4" t="s">
        <v>78</v>
      </c>
      <c r="H19" s="7">
        <f>Sales[[#This Row],[Cost_Amount]]/INDEX('02_Products'!A1:E21,MATCH("P008",'02_Products'!A1:A21,0),MATCH("Unit_Cost",'02_Products'!A1:E1,0))</f>
        <v>3</v>
      </c>
      <c r="I19" s="40">
        <v>0.05</v>
      </c>
      <c r="J19" s="7">
        <v>25650</v>
      </c>
      <c r="K19" s="33">
        <v>19500</v>
      </c>
      <c r="L19" s="7">
        <v>6150</v>
      </c>
      <c r="M19" s="4" t="s">
        <v>102</v>
      </c>
      <c r="N19" s="18" t="s">
        <v>35</v>
      </c>
      <c r="O19" t="s">
        <v>500</v>
      </c>
      <c r="P19" t="s">
        <v>485</v>
      </c>
      <c r="Q19" t="s">
        <v>423</v>
      </c>
      <c r="R19" t="s">
        <v>394</v>
      </c>
      <c r="S19" t="s">
        <v>402</v>
      </c>
      <c r="T19" t="s">
        <v>465</v>
      </c>
      <c r="U19" t="str">
        <f>INDEX(Product[#All],MATCH(Sales[[#This Row],[Product_ID]],Product[[#All],[Product_ID]],0),MATCH(Sales[[#Headers],[Category]],Product[#Headers],0))</f>
        <v>Office</v>
      </c>
      <c r="V19" s="76">
        <f>INDEX(Product[#All],MATCH(Sales[[#This Row],[Product_ID]],Product[[#All],[Product_ID]],0),MATCH(Sales[[#Headers],[Unit_Cost]],Product[#Headers],0))</f>
        <v>6500</v>
      </c>
      <c r="W19" s="76">
        <f>INDEX(Product[#All],MATCH(Sales[[#This Row],[Product_ID]],Product[[#All],[Product_ID]],0),MATCH("List_Price",Product[#Headers],0))</f>
        <v>9000</v>
      </c>
      <c r="X19" s="78">
        <f>Sales[[#This Row],[Quantity]]*(Sales[[#This Row],[List_Price]]*(1-Sales[[#This Row],[Discount]]))</f>
        <v>25650</v>
      </c>
      <c r="Y19" s="150">
        <f>Sales[[#This Row],[Profit]]/Sales[[#This Row],[Cost_Amount]]</f>
        <v>0.31538461538461537</v>
      </c>
    </row>
    <row r="20" spans="1:25" x14ac:dyDescent="0.25">
      <c r="A20" s="17" t="s">
        <v>103</v>
      </c>
      <c r="B20" s="6">
        <v>45709</v>
      </c>
      <c r="C20" s="100">
        <f>MONTH(Sales[[#This Row],[Sale_Date]])</f>
        <v>2</v>
      </c>
      <c r="D20" s="100" t="str">
        <f t="shared" si="0"/>
        <v>February</v>
      </c>
      <c r="E20" s="4" t="s">
        <v>104</v>
      </c>
      <c r="F20" s="4" t="s">
        <v>56</v>
      </c>
      <c r="G20" s="4" t="s">
        <v>95</v>
      </c>
      <c r="H20" s="7">
        <v>5</v>
      </c>
      <c r="I20" s="40">
        <v>0</v>
      </c>
      <c r="J20" s="7">
        <v>260000</v>
      </c>
      <c r="K20" s="33">
        <v>210000</v>
      </c>
      <c r="L20" s="7">
        <v>50000</v>
      </c>
      <c r="M20" s="4" t="s">
        <v>63</v>
      </c>
      <c r="N20" s="18" t="s">
        <v>45</v>
      </c>
      <c r="O20" t="s">
        <v>574</v>
      </c>
      <c r="P20" t="s">
        <v>478</v>
      </c>
      <c r="Q20" t="s">
        <v>417</v>
      </c>
      <c r="R20" t="s">
        <v>398</v>
      </c>
      <c r="S20" t="s">
        <v>399</v>
      </c>
      <c r="T20" t="s">
        <v>455</v>
      </c>
      <c r="U20" t="str">
        <f>INDEX(Product[#All],MATCH(Sales[[#This Row],[Product_ID]],Product[[#All],[Product_ID]],0),MATCH(Sales[[#Headers],[Category]],Product[#Headers],0))</f>
        <v>IT Equipment</v>
      </c>
      <c r="V20" s="76">
        <f>INDEX(Product[#All],MATCH(Sales[[#This Row],[Product_ID]],Product[[#All],[Product_ID]],0),MATCH(Sales[[#Headers],[Unit_Cost]],Product[#Headers],0))</f>
        <v>42000</v>
      </c>
      <c r="W20" s="76">
        <f>INDEX(Product[#All],MATCH(Sales[[#This Row],[Product_ID]],Product[[#All],[Product_ID]],0),MATCH("List_Price",Product[#Headers],0))</f>
        <v>52000</v>
      </c>
      <c r="X20" s="78">
        <f>Sales[[#This Row],[Quantity]]*(Sales[[#This Row],[List_Price]]*(1-Sales[[#This Row],[Discount]]))</f>
        <v>260000</v>
      </c>
      <c r="Y20" s="150">
        <f>Sales[[#This Row],[Profit]]/Sales[[#This Row],[Cost_Amount]]</f>
        <v>0.23809523809523808</v>
      </c>
    </row>
    <row r="21" spans="1:25" x14ac:dyDescent="0.25">
      <c r="A21" s="17" t="s">
        <v>105</v>
      </c>
      <c r="B21" s="6">
        <v>45678</v>
      </c>
      <c r="C21" s="100">
        <f>MONTH(Sales[[#This Row],[Sale_Date]])</f>
        <v>1</v>
      </c>
      <c r="D21" s="100" t="str">
        <f t="shared" si="0"/>
        <v>January</v>
      </c>
      <c r="E21" s="4" t="s">
        <v>106</v>
      </c>
      <c r="F21" s="4" t="s">
        <v>107</v>
      </c>
      <c r="G21" s="4" t="s">
        <v>91</v>
      </c>
      <c r="H21" s="7">
        <v>6</v>
      </c>
      <c r="I21" s="40">
        <v>0.12</v>
      </c>
      <c r="J21" s="7">
        <v>17952</v>
      </c>
      <c r="K21" s="33">
        <v>13200</v>
      </c>
      <c r="L21" s="7">
        <v>4752</v>
      </c>
      <c r="M21" s="4" t="s">
        <v>34</v>
      </c>
      <c r="N21" s="18" t="s">
        <v>740</v>
      </c>
      <c r="O21" t="s">
        <v>529</v>
      </c>
      <c r="P21" t="s">
        <v>520</v>
      </c>
      <c r="Q21" t="s">
        <v>415</v>
      </c>
      <c r="R21" t="s">
        <v>409</v>
      </c>
      <c r="S21" t="s">
        <v>399</v>
      </c>
      <c r="T21" t="s">
        <v>467</v>
      </c>
      <c r="U21" t="str">
        <f>INDEX(Product[#All],MATCH(Sales[[#This Row],[Product_ID]],Product[[#All],[Product_ID]],0),MATCH(Sales[[#Headers],[Category]],Product[#Headers],0))</f>
        <v>IT Equipment</v>
      </c>
      <c r="V21" s="76">
        <f>INDEX(Product[#All],MATCH(Sales[[#This Row],[Product_ID]],Product[[#All],[Product_ID]],0),MATCH(Sales[[#Headers],[Unit_Cost]],Product[#Headers],0))</f>
        <v>2200</v>
      </c>
      <c r="W21" s="76">
        <f>INDEX(Product[#All],MATCH(Sales[[#This Row],[Product_ID]],Product[[#All],[Product_ID]],0),MATCH("List_Price",Product[#Headers],0))</f>
        <v>3400</v>
      </c>
      <c r="X21" s="78">
        <f>Sales[[#This Row],[Quantity]]*(Sales[[#This Row],[List_Price]]*(1-Sales[[#This Row],[Discount]]))</f>
        <v>17952</v>
      </c>
      <c r="Y21" s="150">
        <f>Sales[[#This Row],[Profit]]/Sales[[#This Row],[Cost_Amount]]</f>
        <v>0.36</v>
      </c>
    </row>
    <row r="22" spans="1:25" x14ac:dyDescent="0.25">
      <c r="A22" s="17" t="s">
        <v>108</v>
      </c>
      <c r="B22" s="6">
        <v>45701</v>
      </c>
      <c r="C22" s="100">
        <f>MONTH(Sales[[#This Row],[Sale_Date]])</f>
        <v>2</v>
      </c>
      <c r="D22" s="100" t="str">
        <f t="shared" si="0"/>
        <v>February</v>
      </c>
      <c r="E22" s="4" t="s">
        <v>109</v>
      </c>
      <c r="F22" s="4" t="s">
        <v>88</v>
      </c>
      <c r="G22" s="4" t="s">
        <v>49</v>
      </c>
      <c r="H22" s="7">
        <v>9</v>
      </c>
      <c r="I22" s="40">
        <v>0</v>
      </c>
      <c r="J22" s="7">
        <v>43200</v>
      </c>
      <c r="K22" s="33">
        <v>28800</v>
      </c>
      <c r="L22" s="7">
        <v>14400</v>
      </c>
      <c r="M22" s="4" t="s">
        <v>44</v>
      </c>
      <c r="N22" s="18" t="s">
        <v>35</v>
      </c>
      <c r="O22" t="s">
        <v>583</v>
      </c>
      <c r="P22" t="s">
        <v>579</v>
      </c>
      <c r="Q22" t="s">
        <v>442</v>
      </c>
      <c r="R22" t="s">
        <v>409</v>
      </c>
      <c r="S22" t="s">
        <v>402</v>
      </c>
      <c r="T22" t="s">
        <v>472</v>
      </c>
      <c r="U22" t="str">
        <f>INDEX(Product[#All],MATCH(Sales[[#This Row],[Product_ID]],Product[[#All],[Product_ID]],0),MATCH(Sales[[#Headers],[Category]],Product[#Headers],0))</f>
        <v>IT Equipment</v>
      </c>
      <c r="V22" s="76">
        <f>INDEX(Product[#All],MATCH(Sales[[#This Row],[Product_ID]],Product[[#All],[Product_ID]],0),MATCH(Sales[[#Headers],[Unit_Cost]],Product[#Headers],0))</f>
        <v>3200</v>
      </c>
      <c r="W22" s="76">
        <f>INDEX(Product[#All],MATCH(Sales[[#This Row],[Product_ID]],Product[[#All],[Product_ID]],0),MATCH("List_Price",Product[#Headers],0))</f>
        <v>4800</v>
      </c>
      <c r="X22" s="78">
        <f>Sales[[#This Row],[Quantity]]*(Sales[[#This Row],[List_Price]]*(1-Sales[[#This Row],[Discount]]))</f>
        <v>43200</v>
      </c>
      <c r="Y22" s="150">
        <f>Sales[[#This Row],[Profit]]/Sales[[#This Row],[Cost_Amount]]</f>
        <v>0.5</v>
      </c>
    </row>
    <row r="23" spans="1:25" x14ac:dyDescent="0.25">
      <c r="A23" s="17" t="s">
        <v>110</v>
      </c>
      <c r="B23" s="6">
        <v>45767</v>
      </c>
      <c r="C23" s="100">
        <f>MONTH(Sales[[#This Row],[Sale_Date]])</f>
        <v>4</v>
      </c>
      <c r="D23" s="100" t="str">
        <f t="shared" si="0"/>
        <v>April</v>
      </c>
      <c r="E23" s="4" t="s">
        <v>111</v>
      </c>
      <c r="F23" s="4" t="s">
        <v>112</v>
      </c>
      <c r="G23" s="4" t="s">
        <v>99</v>
      </c>
      <c r="H23" s="7">
        <v>14</v>
      </c>
      <c r="I23" s="40">
        <v>0.1</v>
      </c>
      <c r="J23" s="7">
        <v>478800</v>
      </c>
      <c r="K23" s="33">
        <v>420000</v>
      </c>
      <c r="L23" s="7">
        <v>58800</v>
      </c>
      <c r="M23" s="4" t="s">
        <v>102</v>
      </c>
      <c r="N23" s="18" t="s">
        <v>35</v>
      </c>
      <c r="O23" t="s">
        <v>509</v>
      </c>
      <c r="P23" t="s">
        <v>485</v>
      </c>
      <c r="Q23" t="s">
        <v>400</v>
      </c>
      <c r="R23" t="s">
        <v>398</v>
      </c>
      <c r="S23" t="s">
        <v>399</v>
      </c>
      <c r="T23" t="s">
        <v>457</v>
      </c>
      <c r="U23" t="str">
        <f>INDEX(Product[#All],MATCH(Sales[[#This Row],[Product_ID]],Product[[#All],[Product_ID]],0),MATCH(Sales[[#Headers],[Category]],Product[#Headers],0))</f>
        <v>IT Equipment</v>
      </c>
      <c r="V23" s="76">
        <f>INDEX(Product[#All],MATCH(Sales[[#This Row],[Product_ID]],Product[[#All],[Product_ID]],0),MATCH(Sales[[#Headers],[Unit_Cost]],Product[#Headers],0))</f>
        <v>30000</v>
      </c>
      <c r="W23" s="76">
        <f>INDEX(Product[#All],MATCH(Sales[[#This Row],[Product_ID]],Product[[#All],[Product_ID]],0),MATCH("List_Price",Product[#Headers],0))</f>
        <v>38000</v>
      </c>
      <c r="X23" s="78">
        <f>Sales[[#This Row],[Quantity]]*(Sales[[#This Row],[List_Price]]*(1-Sales[[#This Row],[Discount]]))</f>
        <v>478800</v>
      </c>
      <c r="Y23" s="150">
        <f>Sales[[#This Row],[Profit]]/Sales[[#This Row],[Cost_Amount]]</f>
        <v>0.14000000000000001</v>
      </c>
    </row>
    <row r="24" spans="1:25" x14ac:dyDescent="0.25">
      <c r="A24" s="17" t="s">
        <v>113</v>
      </c>
      <c r="B24" s="6">
        <v>45740</v>
      </c>
      <c r="C24" s="100">
        <f>MONTH(Sales[[#This Row],[Sale_Date]])</f>
        <v>3</v>
      </c>
      <c r="D24" s="100" t="str">
        <f t="shared" si="0"/>
        <v>March</v>
      </c>
      <c r="E24" s="4" t="s">
        <v>114</v>
      </c>
      <c r="F24" s="4" t="s">
        <v>115</v>
      </c>
      <c r="G24" s="4" t="s">
        <v>116</v>
      </c>
      <c r="H24" s="7">
        <v>12</v>
      </c>
      <c r="I24" s="40">
        <v>0</v>
      </c>
      <c r="J24" s="7">
        <v>144000</v>
      </c>
      <c r="K24" s="33">
        <v>102000</v>
      </c>
      <c r="L24" s="7">
        <v>42000</v>
      </c>
      <c r="M24" s="4" t="s">
        <v>44</v>
      </c>
      <c r="N24" s="18" t="s">
        <v>35</v>
      </c>
      <c r="O24" t="s">
        <v>538</v>
      </c>
      <c r="P24" t="s">
        <v>535</v>
      </c>
      <c r="Q24" t="s">
        <v>443</v>
      </c>
      <c r="R24" t="s">
        <v>394</v>
      </c>
      <c r="S24" t="s">
        <v>395</v>
      </c>
      <c r="T24" t="s">
        <v>458</v>
      </c>
      <c r="U24" t="str">
        <f>INDEX(Product[#All],MATCH(Sales[[#This Row],[Product_ID]],Product[[#All],[Product_ID]],0),MATCH(Sales[[#Headers],[Category]],Product[#Headers],0))</f>
        <v>IT Equipment</v>
      </c>
      <c r="V24" s="76">
        <f>INDEX(Product[#All],MATCH(Sales[[#This Row],[Product_ID]],Product[[#All],[Product_ID]],0),MATCH(Sales[[#Headers],[Unit_Cost]],Product[#Headers],0))</f>
        <v>8500</v>
      </c>
      <c r="W24" s="76">
        <f>INDEX(Product[#All],MATCH(Sales[[#This Row],[Product_ID]],Product[[#All],[Product_ID]],0),MATCH("List_Price",Product[#Headers],0))</f>
        <v>12000</v>
      </c>
      <c r="X24" s="78">
        <f>Sales[[#This Row],[Quantity]]*(Sales[[#This Row],[List_Price]]*(1-Sales[[#This Row],[Discount]]))</f>
        <v>144000</v>
      </c>
      <c r="Y24" s="150">
        <f>Sales[[#This Row],[Profit]]/Sales[[#This Row],[Cost_Amount]]</f>
        <v>0.41176470588235292</v>
      </c>
    </row>
    <row r="25" spans="1:25" x14ac:dyDescent="0.25">
      <c r="A25" s="17" t="s">
        <v>118</v>
      </c>
      <c r="B25" s="6">
        <v>45835</v>
      </c>
      <c r="C25" s="100">
        <f>MONTH(Sales[[#This Row],[Sale_Date]])</f>
        <v>6</v>
      </c>
      <c r="D25" s="100" t="str">
        <f t="shared" si="0"/>
        <v>June</v>
      </c>
      <c r="E25" s="4" t="s">
        <v>119</v>
      </c>
      <c r="F25" s="4" t="s">
        <v>120</v>
      </c>
      <c r="G25" s="4" t="s">
        <v>121</v>
      </c>
      <c r="H25" s="7">
        <v>8</v>
      </c>
      <c r="I25" s="40">
        <v>0</v>
      </c>
      <c r="J25" s="7">
        <v>28800</v>
      </c>
      <c r="K25" s="33">
        <v>19200</v>
      </c>
      <c r="L25" s="7">
        <v>9600</v>
      </c>
      <c r="M25" s="4" t="s">
        <v>44</v>
      </c>
      <c r="N25" s="18" t="s">
        <v>122</v>
      </c>
      <c r="O25" t="s">
        <v>566</v>
      </c>
      <c r="P25" t="s">
        <v>478</v>
      </c>
      <c r="Q25" t="s">
        <v>419</v>
      </c>
      <c r="R25" t="s">
        <v>394</v>
      </c>
      <c r="S25" t="s">
        <v>402</v>
      </c>
      <c r="T25" t="s">
        <v>476</v>
      </c>
      <c r="U25" t="str">
        <f>INDEX(Product[#All],MATCH(Sales[[#This Row],[Product_ID]],Product[[#All],[Product_ID]],0),MATCH(Sales[[#Headers],[Category]],Product[#Headers],0))</f>
        <v>IT Equipment</v>
      </c>
      <c r="V25" s="76">
        <f>INDEX(Product[#All],MATCH(Sales[[#This Row],[Product_ID]],Product[[#All],[Product_ID]],0),MATCH(Sales[[#Headers],[Unit_Cost]],Product[#Headers],0))</f>
        <v>2400</v>
      </c>
      <c r="W25" s="76">
        <f>INDEX(Product[#All],MATCH(Sales[[#This Row],[Product_ID]],Product[[#All],[Product_ID]],0),MATCH("List_Price",Product[#Headers],0))</f>
        <v>3600</v>
      </c>
      <c r="X25" s="78">
        <f>Sales[[#This Row],[Quantity]]*(Sales[[#This Row],[List_Price]]*(1-Sales[[#This Row],[Discount]]))</f>
        <v>28800</v>
      </c>
      <c r="Y25" s="150">
        <f>Sales[[#This Row],[Profit]]/Sales[[#This Row],[Cost_Amount]]</f>
        <v>0.5</v>
      </c>
    </row>
    <row r="26" spans="1:25" x14ac:dyDescent="0.25">
      <c r="A26" s="17" t="s">
        <v>123</v>
      </c>
      <c r="B26" s="6">
        <v>45669</v>
      </c>
      <c r="C26" s="100">
        <f>MONTH(Sales[[#This Row],[Sale_Date]])</f>
        <v>1</v>
      </c>
      <c r="D26" s="100" t="str">
        <f t="shared" si="0"/>
        <v>January</v>
      </c>
      <c r="E26" s="4" t="s">
        <v>124</v>
      </c>
      <c r="F26" s="4" t="s">
        <v>125</v>
      </c>
      <c r="G26" s="4" t="s">
        <v>49</v>
      </c>
      <c r="H26" s="7">
        <v>6</v>
      </c>
      <c r="I26" s="40">
        <v>0</v>
      </c>
      <c r="J26" s="7">
        <v>28800</v>
      </c>
      <c r="K26" s="33">
        <v>19200</v>
      </c>
      <c r="L26" s="7">
        <v>9600</v>
      </c>
      <c r="M26" s="4" t="s">
        <v>39</v>
      </c>
      <c r="N26" s="18" t="s">
        <v>122</v>
      </c>
      <c r="O26" t="s">
        <v>575</v>
      </c>
      <c r="P26" t="s">
        <v>478</v>
      </c>
      <c r="Q26" t="s">
        <v>450</v>
      </c>
      <c r="R26" t="s">
        <v>398</v>
      </c>
      <c r="S26" t="s">
        <v>395</v>
      </c>
      <c r="T26" t="s">
        <v>472</v>
      </c>
      <c r="U26" t="str">
        <f>INDEX(Product[#All],MATCH(Sales[[#This Row],[Product_ID]],Product[[#All],[Product_ID]],0),MATCH(Sales[[#Headers],[Category]],Product[#Headers],0))</f>
        <v>IT Equipment</v>
      </c>
      <c r="V26" s="76">
        <f>INDEX(Product[#All],MATCH(Sales[[#This Row],[Product_ID]],Product[[#All],[Product_ID]],0),MATCH(Sales[[#Headers],[Unit_Cost]],Product[#Headers],0))</f>
        <v>3200</v>
      </c>
      <c r="W26" s="76">
        <f>INDEX(Product[#All],MATCH(Sales[[#This Row],[Product_ID]],Product[[#All],[Product_ID]],0),MATCH("List_Price",Product[#Headers],0))</f>
        <v>4800</v>
      </c>
      <c r="X26" s="78">
        <f>Sales[[#This Row],[Quantity]]*(Sales[[#This Row],[List_Price]]*(1-Sales[[#This Row],[Discount]]))</f>
        <v>28800</v>
      </c>
      <c r="Y26" s="150">
        <f>Sales[[#This Row],[Profit]]/Sales[[#This Row],[Cost_Amount]]</f>
        <v>0.5</v>
      </c>
    </row>
    <row r="27" spans="1:25" x14ac:dyDescent="0.25">
      <c r="A27" s="17" t="s">
        <v>126</v>
      </c>
      <c r="B27" s="6">
        <v>45692</v>
      </c>
      <c r="C27" s="100">
        <f>MONTH(Sales[[#This Row],[Sale_Date]])</f>
        <v>2</v>
      </c>
      <c r="D27" s="100" t="str">
        <f t="shared" si="0"/>
        <v>February</v>
      </c>
      <c r="E27" s="4" t="s">
        <v>127</v>
      </c>
      <c r="F27" s="4" t="s">
        <v>128</v>
      </c>
      <c r="G27" s="4" t="s">
        <v>53</v>
      </c>
      <c r="H27" s="7">
        <v>14</v>
      </c>
      <c r="I27" s="40">
        <v>0.1</v>
      </c>
      <c r="J27" s="7">
        <v>52920</v>
      </c>
      <c r="K27" s="33">
        <v>39200</v>
      </c>
      <c r="L27" s="7">
        <v>13720</v>
      </c>
      <c r="M27" s="4" t="s">
        <v>34</v>
      </c>
      <c r="N27" s="18" t="s">
        <v>35</v>
      </c>
      <c r="O27" t="s">
        <v>542</v>
      </c>
      <c r="P27" t="s">
        <v>535</v>
      </c>
      <c r="Q27" t="s">
        <v>426</v>
      </c>
      <c r="R27" t="s">
        <v>409</v>
      </c>
      <c r="S27" t="s">
        <v>402</v>
      </c>
      <c r="T27" t="s">
        <v>473</v>
      </c>
      <c r="U27" t="str">
        <f>INDEX(Product[#All],MATCH(Sales[[#This Row],[Product_ID]],Product[[#All],[Product_ID]],0),MATCH(Sales[[#Headers],[Category]],Product[#Headers],0))</f>
        <v>IT Equipment</v>
      </c>
      <c r="V27" s="76">
        <f>INDEX(Product[#All],MATCH(Sales[[#This Row],[Product_ID]],Product[[#All],[Product_ID]],0),MATCH(Sales[[#Headers],[Unit_Cost]],Product[#Headers],0))</f>
        <v>2800</v>
      </c>
      <c r="W27" s="76">
        <f>INDEX(Product[#All],MATCH(Sales[[#This Row],[Product_ID]],Product[[#All],[Product_ID]],0),MATCH("List_Price",Product[#Headers],0))</f>
        <v>4200</v>
      </c>
      <c r="X27" s="78">
        <f>Sales[[#This Row],[Quantity]]*(Sales[[#This Row],[List_Price]]*(1-Sales[[#This Row],[Discount]]))</f>
        <v>52920</v>
      </c>
      <c r="Y27" s="150">
        <f>Sales[[#This Row],[Profit]]/Sales[[#This Row],[Cost_Amount]]</f>
        <v>0.35</v>
      </c>
    </row>
    <row r="28" spans="1:25" x14ac:dyDescent="0.25">
      <c r="A28" s="17" t="s">
        <v>129</v>
      </c>
      <c r="B28" s="6">
        <v>45716</v>
      </c>
      <c r="C28" s="100">
        <f>MONTH(Sales[[#This Row],[Sale_Date]])</f>
        <v>2</v>
      </c>
      <c r="D28" s="100" t="str">
        <f t="shared" si="0"/>
        <v>February</v>
      </c>
      <c r="E28" s="4" t="s">
        <v>130</v>
      </c>
      <c r="F28" s="4" t="s">
        <v>88</v>
      </c>
      <c r="G28" s="4" t="s">
        <v>78</v>
      </c>
      <c r="H28" s="7">
        <v>13</v>
      </c>
      <c r="I28" s="40">
        <v>0</v>
      </c>
      <c r="J28" s="7">
        <v>117000</v>
      </c>
      <c r="K28" s="33">
        <v>84500</v>
      </c>
      <c r="L28" s="7">
        <v>32500</v>
      </c>
      <c r="M28" s="4" t="s">
        <v>44</v>
      </c>
      <c r="N28" s="18" t="s">
        <v>35</v>
      </c>
      <c r="O28" t="s">
        <v>539</v>
      </c>
      <c r="P28" t="s">
        <v>535</v>
      </c>
      <c r="Q28" t="s">
        <v>442</v>
      </c>
      <c r="R28" t="s">
        <v>409</v>
      </c>
      <c r="S28" t="s">
        <v>402</v>
      </c>
      <c r="T28" t="s">
        <v>465</v>
      </c>
      <c r="U28" t="str">
        <f>INDEX(Product[#All],MATCH(Sales[[#This Row],[Product_ID]],Product[[#All],[Product_ID]],0),MATCH(Sales[[#Headers],[Category]],Product[#Headers],0))</f>
        <v>Office</v>
      </c>
      <c r="V28" s="76">
        <f>INDEX(Product[#All],MATCH(Sales[[#This Row],[Product_ID]],Product[[#All],[Product_ID]],0),MATCH(Sales[[#Headers],[Unit_Cost]],Product[#Headers],0))</f>
        <v>6500</v>
      </c>
      <c r="W28" s="76">
        <f>INDEX(Product[#All],MATCH(Sales[[#This Row],[Product_ID]],Product[[#All],[Product_ID]],0),MATCH("List_Price",Product[#Headers],0))</f>
        <v>9000</v>
      </c>
      <c r="X28" s="78">
        <f>Sales[[#This Row],[Quantity]]*(Sales[[#This Row],[List_Price]]*(1-Sales[[#This Row],[Discount]]))</f>
        <v>117000</v>
      </c>
      <c r="Y28" s="150">
        <f>Sales[[#This Row],[Profit]]/Sales[[#This Row],[Cost_Amount]]</f>
        <v>0.38461538461538464</v>
      </c>
    </row>
    <row r="29" spans="1:25" x14ac:dyDescent="0.25">
      <c r="A29" s="17" t="s">
        <v>131</v>
      </c>
      <c r="B29" s="6">
        <v>45751</v>
      </c>
      <c r="C29" s="100">
        <f>MONTH(Sales[[#This Row],[Sale_Date]])</f>
        <v>4</v>
      </c>
      <c r="D29" s="100" t="str">
        <f t="shared" si="0"/>
        <v>April</v>
      </c>
      <c r="E29" s="4" t="s">
        <v>132</v>
      </c>
      <c r="F29" s="4" t="s">
        <v>133</v>
      </c>
      <c r="G29" s="4" t="s">
        <v>71</v>
      </c>
      <c r="H29" s="7">
        <v>6</v>
      </c>
      <c r="I29" s="40">
        <v>0</v>
      </c>
      <c r="J29" s="7">
        <v>43200</v>
      </c>
      <c r="K29" s="33">
        <v>28800</v>
      </c>
      <c r="L29" s="7">
        <v>14400</v>
      </c>
      <c r="M29" s="4" t="s">
        <v>39</v>
      </c>
      <c r="N29" s="18" t="s">
        <v>35</v>
      </c>
      <c r="O29" t="s">
        <v>577</v>
      </c>
      <c r="P29" t="s">
        <v>478</v>
      </c>
      <c r="Q29" t="s">
        <v>412</v>
      </c>
      <c r="R29" t="s">
        <v>398</v>
      </c>
      <c r="S29" t="s">
        <v>402</v>
      </c>
      <c r="T29" t="s">
        <v>462</v>
      </c>
      <c r="U29" t="str">
        <f>INDEX(Product[#All],MATCH(Sales[[#This Row],[Product_ID]],Product[[#All],[Product_ID]],0),MATCH(Sales[[#Headers],[Category]],Product[#Headers],0))</f>
        <v>Office</v>
      </c>
      <c r="V29" s="76">
        <f>INDEX(Product[#All],MATCH(Sales[[#This Row],[Product_ID]],Product[[#All],[Product_ID]],0),MATCH(Sales[[#Headers],[Unit_Cost]],Product[#Headers],0))</f>
        <v>4800</v>
      </c>
      <c r="W29" s="76">
        <f>INDEX(Product[#All],MATCH(Sales[[#This Row],[Product_ID]],Product[[#All],[Product_ID]],0),MATCH("List_Price",Product[#Headers],0))</f>
        <v>7200</v>
      </c>
      <c r="X29" s="78">
        <f>Sales[[#This Row],[Quantity]]*(Sales[[#This Row],[List_Price]]*(1-Sales[[#This Row],[Discount]]))</f>
        <v>43200</v>
      </c>
      <c r="Y29" s="150">
        <f>Sales[[#This Row],[Profit]]/Sales[[#This Row],[Cost_Amount]]</f>
        <v>0.5</v>
      </c>
    </row>
    <row r="30" spans="1:25" x14ac:dyDescent="0.25">
      <c r="A30" s="17" t="s">
        <v>134</v>
      </c>
      <c r="B30" s="6">
        <v>45670</v>
      </c>
      <c r="C30" s="100">
        <f>MONTH(Sales[[#This Row],[Sale_Date]])</f>
        <v>1</v>
      </c>
      <c r="D30" s="100" t="str">
        <f t="shared" si="0"/>
        <v>January</v>
      </c>
      <c r="E30" s="4" t="s">
        <v>135</v>
      </c>
      <c r="F30" s="4" t="s">
        <v>136</v>
      </c>
      <c r="G30" s="4" t="s">
        <v>95</v>
      </c>
      <c r="H30" s="7">
        <v>2</v>
      </c>
      <c r="I30" s="40">
        <v>0.08</v>
      </c>
      <c r="J30" s="7">
        <v>95680</v>
      </c>
      <c r="K30" s="33">
        <v>84000</v>
      </c>
      <c r="L30" s="7">
        <v>11680</v>
      </c>
      <c r="M30" s="4" t="s">
        <v>34</v>
      </c>
      <c r="N30" s="18" t="s">
        <v>35</v>
      </c>
      <c r="O30" t="s">
        <v>557</v>
      </c>
      <c r="P30" t="s">
        <v>478</v>
      </c>
      <c r="Q30" t="s">
        <v>418</v>
      </c>
      <c r="R30" t="s">
        <v>398</v>
      </c>
      <c r="S30" t="s">
        <v>402</v>
      </c>
      <c r="T30" t="s">
        <v>455</v>
      </c>
      <c r="U30" t="str">
        <f>INDEX(Product[#All],MATCH(Sales[[#This Row],[Product_ID]],Product[[#All],[Product_ID]],0),MATCH(Sales[[#Headers],[Category]],Product[#Headers],0))</f>
        <v>IT Equipment</v>
      </c>
      <c r="V30" s="76">
        <f>INDEX(Product[#All],MATCH(Sales[[#This Row],[Product_ID]],Product[[#All],[Product_ID]],0),MATCH(Sales[[#Headers],[Unit_Cost]],Product[#Headers],0))</f>
        <v>42000</v>
      </c>
      <c r="W30" s="76">
        <f>INDEX(Product[#All],MATCH(Sales[[#This Row],[Product_ID]],Product[[#All],[Product_ID]],0),MATCH("List_Price",Product[#Headers],0))</f>
        <v>52000</v>
      </c>
      <c r="X30" s="78">
        <f>Sales[[#This Row],[Quantity]]*(Sales[[#This Row],[List_Price]]*(1-Sales[[#This Row],[Discount]]))</f>
        <v>95680</v>
      </c>
      <c r="Y30" s="150">
        <f>Sales[[#This Row],[Profit]]/Sales[[#This Row],[Cost_Amount]]</f>
        <v>0.13904761904761906</v>
      </c>
    </row>
    <row r="31" spans="1:25" x14ac:dyDescent="0.25">
      <c r="A31" s="17" t="s">
        <v>138</v>
      </c>
      <c r="B31" s="6">
        <v>45798</v>
      </c>
      <c r="C31" s="100">
        <f>MONTH(Sales[[#This Row],[Sale_Date]])</f>
        <v>5</v>
      </c>
      <c r="D31" s="100" t="str">
        <f t="shared" si="0"/>
        <v>May</v>
      </c>
      <c r="E31" s="4" t="s">
        <v>139</v>
      </c>
      <c r="F31" s="4" t="s">
        <v>115</v>
      </c>
      <c r="G31" s="4" t="s">
        <v>49</v>
      </c>
      <c r="H31" s="7">
        <v>13</v>
      </c>
      <c r="I31" s="40">
        <v>0</v>
      </c>
      <c r="J31" s="7">
        <v>62400</v>
      </c>
      <c r="K31" s="33">
        <v>41600</v>
      </c>
      <c r="L31" s="7">
        <v>20800</v>
      </c>
      <c r="M31" s="4" t="s">
        <v>44</v>
      </c>
      <c r="N31" s="18" t="s">
        <v>35</v>
      </c>
      <c r="O31" t="s">
        <v>553</v>
      </c>
      <c r="P31" t="s">
        <v>547</v>
      </c>
      <c r="Q31" t="s">
        <v>443</v>
      </c>
      <c r="R31" t="s">
        <v>394</v>
      </c>
      <c r="S31" t="s">
        <v>395</v>
      </c>
      <c r="T31" t="s">
        <v>472</v>
      </c>
      <c r="U31" t="str">
        <f>INDEX(Product[#All],MATCH(Sales[[#This Row],[Product_ID]],Product[[#All],[Product_ID]],0),MATCH(Sales[[#Headers],[Category]],Product[#Headers],0))</f>
        <v>IT Equipment</v>
      </c>
      <c r="V31" s="76">
        <f>INDEX(Product[#All],MATCH(Sales[[#This Row],[Product_ID]],Product[[#All],[Product_ID]],0),MATCH(Sales[[#Headers],[Unit_Cost]],Product[#Headers],0))</f>
        <v>3200</v>
      </c>
      <c r="W31" s="76">
        <f>INDEX(Product[#All],MATCH(Sales[[#This Row],[Product_ID]],Product[[#All],[Product_ID]],0),MATCH("List_Price",Product[#Headers],0))</f>
        <v>4800</v>
      </c>
      <c r="X31" s="78">
        <f>Sales[[#This Row],[Quantity]]*(Sales[[#This Row],[List_Price]]*(1-Sales[[#This Row],[Discount]]))</f>
        <v>62400</v>
      </c>
      <c r="Y31" s="150">
        <f>Sales[[#This Row],[Profit]]/Sales[[#This Row],[Cost_Amount]]</f>
        <v>0.5</v>
      </c>
    </row>
    <row r="32" spans="1:25" x14ac:dyDescent="0.25">
      <c r="A32" s="17" t="s">
        <v>140</v>
      </c>
      <c r="B32" s="6">
        <v>45791</v>
      </c>
      <c r="C32" s="100">
        <f>MONTH(Sales[[#This Row],[Sale_Date]])</f>
        <v>5</v>
      </c>
      <c r="D32" s="100" t="str">
        <f t="shared" si="0"/>
        <v>May</v>
      </c>
      <c r="E32" s="4" t="s">
        <v>141</v>
      </c>
      <c r="F32" s="4" t="s">
        <v>142</v>
      </c>
      <c r="G32" s="4" t="s">
        <v>116</v>
      </c>
      <c r="H32" s="7">
        <v>4</v>
      </c>
      <c r="I32" s="40">
        <v>0.1</v>
      </c>
      <c r="J32" s="7">
        <v>43200</v>
      </c>
      <c r="K32" s="33">
        <v>34000</v>
      </c>
      <c r="L32" s="7">
        <v>9200</v>
      </c>
      <c r="M32" s="4" t="s">
        <v>102</v>
      </c>
      <c r="N32" s="18" t="s">
        <v>35</v>
      </c>
      <c r="O32" t="s">
        <v>540</v>
      </c>
      <c r="P32" t="s">
        <v>535</v>
      </c>
      <c r="Q32" t="s">
        <v>441</v>
      </c>
      <c r="R32" t="s">
        <v>398</v>
      </c>
      <c r="S32" t="s">
        <v>399</v>
      </c>
      <c r="T32" t="s">
        <v>458</v>
      </c>
      <c r="U32" t="str">
        <f>INDEX(Product[#All],MATCH(Sales[[#This Row],[Product_ID]],Product[[#All],[Product_ID]],0),MATCH(Sales[[#Headers],[Category]],Product[#Headers],0))</f>
        <v>IT Equipment</v>
      </c>
      <c r="V32" s="76">
        <f>INDEX(Product[#All],MATCH(Sales[[#This Row],[Product_ID]],Product[[#All],[Product_ID]],0),MATCH(Sales[[#Headers],[Unit_Cost]],Product[#Headers],0))</f>
        <v>8500</v>
      </c>
      <c r="W32" s="76">
        <f>INDEX(Product[#All],MATCH(Sales[[#This Row],[Product_ID]],Product[[#All],[Product_ID]],0),MATCH("List_Price",Product[#Headers],0))</f>
        <v>12000</v>
      </c>
      <c r="X32" s="78">
        <f>Sales[[#This Row],[Quantity]]*(Sales[[#This Row],[List_Price]]*(1-Sales[[#This Row],[Discount]]))</f>
        <v>43200</v>
      </c>
      <c r="Y32" s="150">
        <f>Sales[[#This Row],[Profit]]/Sales[[#This Row],[Cost_Amount]]</f>
        <v>0.27058823529411763</v>
      </c>
    </row>
    <row r="33" spans="1:25" x14ac:dyDescent="0.25">
      <c r="A33" s="17" t="s">
        <v>143</v>
      </c>
      <c r="B33" s="6">
        <v>45687</v>
      </c>
      <c r="C33" s="100">
        <f>MONTH(Sales[[#This Row],[Sale_Date]])</f>
        <v>1</v>
      </c>
      <c r="D33" s="100" t="str">
        <f t="shared" si="0"/>
        <v>January</v>
      </c>
      <c r="E33" s="4" t="s">
        <v>80</v>
      </c>
      <c r="F33" s="4" t="s">
        <v>144</v>
      </c>
      <c r="G33" s="4" t="s">
        <v>145</v>
      </c>
      <c r="H33" s="7">
        <v>4</v>
      </c>
      <c r="I33" s="40">
        <v>0.03</v>
      </c>
      <c r="J33" s="7">
        <v>9700</v>
      </c>
      <c r="K33" s="33">
        <v>6400</v>
      </c>
      <c r="L33" s="7">
        <v>3300</v>
      </c>
      <c r="M33" s="4" t="s">
        <v>63</v>
      </c>
      <c r="N33" s="18" t="s">
        <v>35</v>
      </c>
      <c r="O33" t="s">
        <v>484</v>
      </c>
      <c r="P33" t="s">
        <v>485</v>
      </c>
      <c r="Q33" t="s">
        <v>447</v>
      </c>
      <c r="R33" t="s">
        <v>398</v>
      </c>
      <c r="S33" t="s">
        <v>402</v>
      </c>
      <c r="T33" t="s">
        <v>469</v>
      </c>
      <c r="U33" t="str">
        <f>INDEX(Product[#All],MATCH(Sales[[#This Row],[Product_ID]],Product[[#All],[Product_ID]],0),MATCH(Sales[[#Headers],[Category]],Product[#Headers],0))</f>
        <v>Accessories</v>
      </c>
      <c r="V33" s="76">
        <f>INDEX(Product[#All],MATCH(Sales[[#This Row],[Product_ID]],Product[[#All],[Product_ID]],0),MATCH(Sales[[#Headers],[Unit_Cost]],Product[#Headers],0))</f>
        <v>1600</v>
      </c>
      <c r="W33" s="76">
        <f>INDEX(Product[#All],MATCH(Sales[[#This Row],[Product_ID]],Product[[#All],[Product_ID]],0),MATCH("List_Price",Product[#Headers],0))</f>
        <v>2500</v>
      </c>
      <c r="X33" s="78">
        <f>Sales[[#This Row],[Quantity]]*(Sales[[#This Row],[List_Price]]*(1-Sales[[#This Row],[Discount]]))</f>
        <v>9700</v>
      </c>
      <c r="Y33" s="150">
        <f>Sales[[#This Row],[Profit]]/Sales[[#This Row],[Cost_Amount]]</f>
        <v>0.515625</v>
      </c>
    </row>
    <row r="34" spans="1:25" x14ac:dyDescent="0.25">
      <c r="A34" s="17" t="s">
        <v>146</v>
      </c>
      <c r="B34" s="6">
        <v>45838</v>
      </c>
      <c r="C34" s="100">
        <f>MONTH(Sales[[#This Row],[Sale_Date]])</f>
        <v>6</v>
      </c>
      <c r="D34" s="100" t="str">
        <f t="shared" si="0"/>
        <v>June</v>
      </c>
      <c r="E34" s="4" t="s">
        <v>147</v>
      </c>
      <c r="F34" s="4" t="s">
        <v>148</v>
      </c>
      <c r="G34" s="4" t="s">
        <v>62</v>
      </c>
      <c r="H34" s="7">
        <v>7</v>
      </c>
      <c r="I34" s="40">
        <v>0.03</v>
      </c>
      <c r="J34" s="7">
        <v>71295</v>
      </c>
      <c r="K34" s="33">
        <v>52500</v>
      </c>
      <c r="L34" s="7">
        <v>18795</v>
      </c>
      <c r="M34" s="4" t="s">
        <v>102</v>
      </c>
      <c r="N34" s="18" t="s">
        <v>35</v>
      </c>
      <c r="O34" t="s">
        <v>493</v>
      </c>
      <c r="P34" t="s">
        <v>485</v>
      </c>
      <c r="Q34" t="s">
        <v>437</v>
      </c>
      <c r="R34" t="s">
        <v>409</v>
      </c>
      <c r="S34" t="s">
        <v>402</v>
      </c>
      <c r="T34" t="s">
        <v>464</v>
      </c>
      <c r="U34" t="str">
        <f>INDEX(Product[#All],MATCH(Sales[[#This Row],[Product_ID]],Product[[#All],[Product_ID]],0),MATCH(Sales[[#Headers],[Category]],Product[#Headers],0))</f>
        <v>Office</v>
      </c>
      <c r="V34" s="76">
        <f>INDEX(Product[#All],MATCH(Sales[[#This Row],[Product_ID]],Product[[#All],[Product_ID]],0),MATCH(Sales[[#Headers],[Unit_Cost]],Product[#Headers],0))</f>
        <v>7500</v>
      </c>
      <c r="W34" s="76">
        <f>INDEX(Product[#All],MATCH(Sales[[#This Row],[Product_ID]],Product[[#All],[Product_ID]],0),MATCH("List_Price",Product[#Headers],0))</f>
        <v>10500</v>
      </c>
      <c r="X34" s="78">
        <f>Sales[[#This Row],[Quantity]]*(Sales[[#This Row],[List_Price]]*(1-Sales[[#This Row],[Discount]]))</f>
        <v>71295</v>
      </c>
      <c r="Y34" s="150">
        <f>Sales[[#This Row],[Profit]]/Sales[[#This Row],[Cost_Amount]]</f>
        <v>0.35799999999999998</v>
      </c>
    </row>
    <row r="35" spans="1:25" x14ac:dyDescent="0.25">
      <c r="A35" s="17" t="s">
        <v>149</v>
      </c>
      <c r="B35" s="6">
        <v>45718</v>
      </c>
      <c r="C35" s="100">
        <f>MONTH(Sales[[#This Row],[Sale_Date]])</f>
        <v>3</v>
      </c>
      <c r="D35" s="100" t="str">
        <f t="shared" si="0"/>
        <v>March</v>
      </c>
      <c r="E35" s="4" t="s">
        <v>326</v>
      </c>
      <c r="F35" s="4" t="s">
        <v>151</v>
      </c>
      <c r="G35" s="4" t="s">
        <v>152</v>
      </c>
      <c r="H35" s="7">
        <v>16</v>
      </c>
      <c r="I35" s="40">
        <v>0.03</v>
      </c>
      <c r="J35" s="7">
        <v>43456</v>
      </c>
      <c r="K35" s="33">
        <v>28800</v>
      </c>
      <c r="L35" s="7">
        <v>14656</v>
      </c>
      <c r="M35" s="4" t="s">
        <v>63</v>
      </c>
      <c r="N35" s="18" t="s">
        <v>122</v>
      </c>
      <c r="O35" t="s">
        <v>495</v>
      </c>
      <c r="P35" t="s">
        <v>485</v>
      </c>
      <c r="Q35" t="s">
        <v>408</v>
      </c>
      <c r="R35" t="s">
        <v>409</v>
      </c>
      <c r="S35" t="s">
        <v>395</v>
      </c>
      <c r="T35" t="s">
        <v>459</v>
      </c>
      <c r="U35" t="str">
        <f>INDEX(Product[#All],MATCH(Sales[[#This Row],[Product_ID]],Product[[#All],[Product_ID]],0),MATCH(Sales[[#Headers],[Category]],Product[#Headers],0))</f>
        <v>Accessories</v>
      </c>
      <c r="V35" s="76">
        <f>INDEX(Product[#All],MATCH(Sales[[#This Row],[Product_ID]],Product[[#All],[Product_ID]],0),MATCH(Sales[[#Headers],[Unit_Cost]],Product[#Headers],0))</f>
        <v>1800</v>
      </c>
      <c r="W35" s="76">
        <f>INDEX(Product[#All],MATCH(Sales[[#This Row],[Product_ID]],Product[[#All],[Product_ID]],0),MATCH("List_Price",Product[#Headers],0))</f>
        <v>2800</v>
      </c>
      <c r="X35" s="78">
        <f>Sales[[#This Row],[Quantity]]*(Sales[[#This Row],[List_Price]]*(1-Sales[[#This Row],[Discount]]))</f>
        <v>43456</v>
      </c>
      <c r="Y35" s="150">
        <f>Sales[[#This Row],[Profit]]/Sales[[#This Row],[Cost_Amount]]</f>
        <v>0.50888888888888884</v>
      </c>
    </row>
    <row r="36" spans="1:25" x14ac:dyDescent="0.25">
      <c r="A36" s="17" t="s">
        <v>153</v>
      </c>
      <c r="B36" s="6">
        <v>45788</v>
      </c>
      <c r="C36" s="100">
        <f>MONTH(Sales[[#This Row],[Sale_Date]])</f>
        <v>5</v>
      </c>
      <c r="D36" s="100" t="str">
        <f t="shared" si="0"/>
        <v>May</v>
      </c>
      <c r="E36" s="4" t="s">
        <v>154</v>
      </c>
      <c r="F36" s="4" t="s">
        <v>94</v>
      </c>
      <c r="G36" s="4" t="s">
        <v>95</v>
      </c>
      <c r="H36" s="7">
        <v>5</v>
      </c>
      <c r="I36" s="40">
        <v>0</v>
      </c>
      <c r="J36" s="7">
        <v>260000</v>
      </c>
      <c r="K36" s="33">
        <v>210000</v>
      </c>
      <c r="L36" s="7">
        <v>50000</v>
      </c>
      <c r="M36" s="4" t="s">
        <v>63</v>
      </c>
      <c r="N36" s="18" t="s">
        <v>35</v>
      </c>
      <c r="O36" t="s">
        <v>546</v>
      </c>
      <c r="P36" t="s">
        <v>547</v>
      </c>
      <c r="Q36" t="s">
        <v>435</v>
      </c>
      <c r="R36" t="s">
        <v>398</v>
      </c>
      <c r="S36" t="s">
        <v>399</v>
      </c>
      <c r="T36" t="s">
        <v>455</v>
      </c>
      <c r="U36" t="str">
        <f>INDEX(Product[#All],MATCH(Sales[[#This Row],[Product_ID]],Product[[#All],[Product_ID]],0),MATCH(Sales[[#Headers],[Category]],Product[#Headers],0))</f>
        <v>IT Equipment</v>
      </c>
      <c r="V36" s="76">
        <f>INDEX(Product[#All],MATCH(Sales[[#This Row],[Product_ID]],Product[[#All],[Product_ID]],0),MATCH(Sales[[#Headers],[Unit_Cost]],Product[#Headers],0))</f>
        <v>42000</v>
      </c>
      <c r="W36" s="76">
        <f>INDEX(Product[#All],MATCH(Sales[[#This Row],[Product_ID]],Product[[#All],[Product_ID]],0),MATCH("List_Price",Product[#Headers],0))</f>
        <v>52000</v>
      </c>
      <c r="X36" s="78">
        <f>Sales[[#This Row],[Quantity]]*(Sales[[#This Row],[List_Price]]*(1-Sales[[#This Row],[Discount]]))</f>
        <v>260000</v>
      </c>
      <c r="Y36" s="150">
        <f>Sales[[#This Row],[Profit]]/Sales[[#This Row],[Cost_Amount]]</f>
        <v>0.23809523809523808</v>
      </c>
    </row>
    <row r="37" spans="1:25" x14ac:dyDescent="0.25">
      <c r="A37" s="17" t="s">
        <v>155</v>
      </c>
      <c r="B37" s="6">
        <v>45776</v>
      </c>
      <c r="C37" s="100">
        <f>MONTH(Sales[[#This Row],[Sale_Date]])</f>
        <v>4</v>
      </c>
      <c r="D37" s="100" t="str">
        <f t="shared" si="0"/>
        <v>April</v>
      </c>
      <c r="E37" s="4" t="s">
        <v>127</v>
      </c>
      <c r="F37" s="4" t="s">
        <v>112</v>
      </c>
      <c r="G37" s="4" t="s">
        <v>62</v>
      </c>
      <c r="H37" s="7">
        <v>10</v>
      </c>
      <c r="I37" s="40">
        <v>0.03</v>
      </c>
      <c r="J37" s="7">
        <v>101850</v>
      </c>
      <c r="K37" s="33">
        <v>75000</v>
      </c>
      <c r="L37" s="7">
        <v>26850</v>
      </c>
      <c r="M37" s="4" t="s">
        <v>102</v>
      </c>
      <c r="N37" s="18" t="s">
        <v>35</v>
      </c>
      <c r="O37" t="s">
        <v>542</v>
      </c>
      <c r="P37" t="s">
        <v>535</v>
      </c>
      <c r="Q37" t="s">
        <v>400</v>
      </c>
      <c r="R37" t="s">
        <v>398</v>
      </c>
      <c r="S37" t="s">
        <v>399</v>
      </c>
      <c r="T37" t="s">
        <v>464</v>
      </c>
      <c r="U37" t="str">
        <f>INDEX(Product[#All],MATCH(Sales[[#This Row],[Product_ID]],Product[[#All],[Product_ID]],0),MATCH(Sales[[#Headers],[Category]],Product[#Headers],0))</f>
        <v>Office</v>
      </c>
      <c r="V37" s="76">
        <f>INDEX(Product[#All],MATCH(Sales[[#This Row],[Product_ID]],Product[[#All],[Product_ID]],0),MATCH(Sales[[#Headers],[Unit_Cost]],Product[#Headers],0))</f>
        <v>7500</v>
      </c>
      <c r="W37" s="76">
        <f>INDEX(Product[#All],MATCH(Sales[[#This Row],[Product_ID]],Product[[#All],[Product_ID]],0),MATCH("List_Price",Product[#Headers],0))</f>
        <v>10500</v>
      </c>
      <c r="X37" s="78">
        <f>Sales[[#This Row],[Quantity]]*(Sales[[#This Row],[List_Price]]*(1-Sales[[#This Row],[Discount]]))</f>
        <v>101850</v>
      </c>
      <c r="Y37" s="150">
        <f>Sales[[#This Row],[Profit]]/Sales[[#This Row],[Cost_Amount]]</f>
        <v>0.35799999999999998</v>
      </c>
    </row>
    <row r="38" spans="1:25" x14ac:dyDescent="0.25">
      <c r="A38" s="17" t="s">
        <v>157</v>
      </c>
      <c r="B38" s="6">
        <v>45687</v>
      </c>
      <c r="C38" s="100">
        <f>MONTH(Sales[[#This Row],[Sale_Date]])</f>
        <v>1</v>
      </c>
      <c r="D38" s="100" t="str">
        <f t="shared" si="0"/>
        <v>January</v>
      </c>
      <c r="E38" s="4" t="s">
        <v>73</v>
      </c>
      <c r="F38" s="4" t="s">
        <v>158</v>
      </c>
      <c r="G38" s="4" t="s">
        <v>53</v>
      </c>
      <c r="H38" s="7">
        <v>11</v>
      </c>
      <c r="I38" s="40">
        <v>0.05</v>
      </c>
      <c r="J38" s="7">
        <v>43890</v>
      </c>
      <c r="K38" s="33">
        <v>30800</v>
      </c>
      <c r="L38" s="7">
        <v>13090</v>
      </c>
      <c r="M38" s="4" t="s">
        <v>44</v>
      </c>
      <c r="N38" s="18" t="s">
        <v>35</v>
      </c>
      <c r="O38" t="s">
        <v>518</v>
      </c>
      <c r="P38" t="s">
        <v>485</v>
      </c>
      <c r="Q38" t="s">
        <v>430</v>
      </c>
      <c r="R38" t="s">
        <v>394</v>
      </c>
      <c r="S38" t="s">
        <v>395</v>
      </c>
      <c r="T38" t="s">
        <v>473</v>
      </c>
      <c r="U38" t="str">
        <f>INDEX(Product[#All],MATCH(Sales[[#This Row],[Product_ID]],Product[[#All],[Product_ID]],0),MATCH(Sales[[#Headers],[Category]],Product[#Headers],0))</f>
        <v>IT Equipment</v>
      </c>
      <c r="V38" s="76">
        <f>INDEX(Product[#All],MATCH(Sales[[#This Row],[Product_ID]],Product[[#All],[Product_ID]],0),MATCH(Sales[[#Headers],[Unit_Cost]],Product[#Headers],0))</f>
        <v>2800</v>
      </c>
      <c r="W38" s="76">
        <f>INDEX(Product[#All],MATCH(Sales[[#This Row],[Product_ID]],Product[[#All],[Product_ID]],0),MATCH("List_Price",Product[#Headers],0))</f>
        <v>4200</v>
      </c>
      <c r="X38" s="78">
        <f>Sales[[#This Row],[Quantity]]*(Sales[[#This Row],[List_Price]]*(1-Sales[[#This Row],[Discount]]))</f>
        <v>43890</v>
      </c>
      <c r="Y38" s="150">
        <f>Sales[[#This Row],[Profit]]/Sales[[#This Row],[Cost_Amount]]</f>
        <v>0.42499999999999999</v>
      </c>
    </row>
    <row r="39" spans="1:25" x14ac:dyDescent="0.25">
      <c r="A39" s="17" t="s">
        <v>159</v>
      </c>
      <c r="B39" s="6">
        <v>45749</v>
      </c>
      <c r="C39" s="100">
        <f>MONTH(Sales[[#This Row],[Sale_Date]])</f>
        <v>4</v>
      </c>
      <c r="D39" s="100" t="str">
        <f t="shared" si="0"/>
        <v>April</v>
      </c>
      <c r="E39" s="4" t="s">
        <v>160</v>
      </c>
      <c r="F39" s="4" t="s">
        <v>161</v>
      </c>
      <c r="G39" s="4" t="s">
        <v>162</v>
      </c>
      <c r="H39" s="7">
        <v>6</v>
      </c>
      <c r="I39" s="40">
        <v>0.03</v>
      </c>
      <c r="J39" s="7">
        <v>93120</v>
      </c>
      <c r="K39" s="33">
        <v>69000</v>
      </c>
      <c r="L39" s="7">
        <v>24120</v>
      </c>
      <c r="M39" s="4" t="s">
        <v>39</v>
      </c>
      <c r="N39" s="18" t="s">
        <v>35</v>
      </c>
      <c r="O39" t="s">
        <v>501</v>
      </c>
      <c r="P39" t="s">
        <v>485</v>
      </c>
      <c r="Q39" t="s">
        <v>434</v>
      </c>
      <c r="R39" t="s">
        <v>409</v>
      </c>
      <c r="S39" t="s">
        <v>402</v>
      </c>
      <c r="T39" t="s">
        <v>471</v>
      </c>
      <c r="U39" t="str">
        <f>INDEX(Product[#All],MATCH(Sales[[#This Row],[Product_ID]],Product[[#All],[Product_ID]],0),MATCH(Sales[[#Headers],[Category]],Product[#Headers],0))</f>
        <v>Office</v>
      </c>
      <c r="V39" s="76">
        <f>INDEX(Product[#All],MATCH(Sales[[#This Row],[Product_ID]],Product[[#All],[Product_ID]],0),MATCH(Sales[[#Headers],[Unit_Cost]],Product[#Headers],0))</f>
        <v>11500</v>
      </c>
      <c r="W39" s="76">
        <f>INDEX(Product[#All],MATCH(Sales[[#This Row],[Product_ID]],Product[[#All],[Product_ID]],0),MATCH("List_Price",Product[#Headers],0))</f>
        <v>16000</v>
      </c>
      <c r="X39" s="78">
        <f>Sales[[#This Row],[Quantity]]*(Sales[[#This Row],[List_Price]]*(1-Sales[[#This Row],[Discount]]))</f>
        <v>93120</v>
      </c>
      <c r="Y39" s="150">
        <f>Sales[[#This Row],[Profit]]/Sales[[#This Row],[Cost_Amount]]</f>
        <v>0.34956521739130436</v>
      </c>
    </row>
    <row r="40" spans="1:25" x14ac:dyDescent="0.25">
      <c r="A40" s="17" t="s">
        <v>163</v>
      </c>
      <c r="B40" s="6">
        <v>45687</v>
      </c>
      <c r="C40" s="100">
        <f>MONTH(Sales[[#This Row],[Sale_Date]])</f>
        <v>1</v>
      </c>
      <c r="D40" s="100" t="str">
        <f t="shared" si="0"/>
        <v>January</v>
      </c>
      <c r="E40" s="4" t="s">
        <v>114</v>
      </c>
      <c r="F40" s="4" t="s">
        <v>164</v>
      </c>
      <c r="G40" s="4" t="s">
        <v>33</v>
      </c>
      <c r="H40" s="7">
        <v>11</v>
      </c>
      <c r="I40" s="40">
        <v>0</v>
      </c>
      <c r="J40" s="7">
        <v>39600</v>
      </c>
      <c r="K40" s="33">
        <v>26400</v>
      </c>
      <c r="L40" s="7">
        <v>13200</v>
      </c>
      <c r="M40" s="4" t="s">
        <v>44</v>
      </c>
      <c r="N40" s="18" t="s">
        <v>45</v>
      </c>
      <c r="O40" t="s">
        <v>538</v>
      </c>
      <c r="P40" t="s">
        <v>535</v>
      </c>
      <c r="Q40" t="s">
        <v>422</v>
      </c>
      <c r="R40" t="s">
        <v>394</v>
      </c>
      <c r="S40" t="s">
        <v>402</v>
      </c>
      <c r="T40" t="s">
        <v>475</v>
      </c>
      <c r="U40" t="str">
        <f>INDEX(Product[#All],MATCH(Sales[[#This Row],[Product_ID]],Product[[#All],[Product_ID]],0),MATCH(Sales[[#Headers],[Category]],Product[#Headers],0))</f>
        <v>Accessories</v>
      </c>
      <c r="V40" s="76">
        <f>INDEX(Product[#All],MATCH(Sales[[#This Row],[Product_ID]],Product[[#All],[Product_ID]],0),MATCH(Sales[[#Headers],[Unit_Cost]],Product[#Headers],0))</f>
        <v>2400</v>
      </c>
      <c r="W40" s="76">
        <f>INDEX(Product[#All],MATCH(Sales[[#This Row],[Product_ID]],Product[[#All],[Product_ID]],0),MATCH("List_Price",Product[#Headers],0))</f>
        <v>3600</v>
      </c>
      <c r="X40" s="78">
        <f>Sales[[#This Row],[Quantity]]*(Sales[[#This Row],[List_Price]]*(1-Sales[[#This Row],[Discount]]))</f>
        <v>39600</v>
      </c>
      <c r="Y40" s="150">
        <f>Sales[[#This Row],[Profit]]/Sales[[#This Row],[Cost_Amount]]</f>
        <v>0.5</v>
      </c>
    </row>
    <row r="41" spans="1:25" x14ac:dyDescent="0.25">
      <c r="A41" s="17" t="s">
        <v>165</v>
      </c>
      <c r="B41" s="6">
        <v>45765</v>
      </c>
      <c r="C41" s="100">
        <f>MONTH(Sales[[#This Row],[Sale_Date]])</f>
        <v>4</v>
      </c>
      <c r="D41" s="100" t="str">
        <f t="shared" si="0"/>
        <v>April</v>
      </c>
      <c r="E41" s="4" t="s">
        <v>147</v>
      </c>
      <c r="F41" s="4" t="s">
        <v>166</v>
      </c>
      <c r="G41" s="4" t="s">
        <v>95</v>
      </c>
      <c r="H41" s="7">
        <v>16</v>
      </c>
      <c r="I41" s="40">
        <v>0.12</v>
      </c>
      <c r="J41" s="7">
        <v>732160</v>
      </c>
      <c r="K41" s="33">
        <v>672000</v>
      </c>
      <c r="L41" s="7">
        <v>60160</v>
      </c>
      <c r="M41" s="4" t="s">
        <v>34</v>
      </c>
      <c r="N41" s="18" t="s">
        <v>35</v>
      </c>
      <c r="O41" t="s">
        <v>493</v>
      </c>
      <c r="P41" t="s">
        <v>485</v>
      </c>
      <c r="Q41" t="s">
        <v>414</v>
      </c>
      <c r="R41" t="s">
        <v>394</v>
      </c>
      <c r="S41" t="s">
        <v>399</v>
      </c>
      <c r="T41" t="s">
        <v>455</v>
      </c>
      <c r="U41" t="str">
        <f>INDEX(Product[#All],MATCH(Sales[[#This Row],[Product_ID]],Product[[#All],[Product_ID]],0),MATCH(Sales[[#Headers],[Category]],Product[#Headers],0))</f>
        <v>IT Equipment</v>
      </c>
      <c r="V41" s="76">
        <f>INDEX(Product[#All],MATCH(Sales[[#This Row],[Product_ID]],Product[[#All],[Product_ID]],0),MATCH(Sales[[#Headers],[Unit_Cost]],Product[#Headers],0))</f>
        <v>42000</v>
      </c>
      <c r="W41" s="76">
        <f>INDEX(Product[#All],MATCH(Sales[[#This Row],[Product_ID]],Product[[#All],[Product_ID]],0),MATCH("List_Price",Product[#Headers],0))</f>
        <v>52000</v>
      </c>
      <c r="X41" s="78">
        <f>Sales[[#This Row],[Quantity]]*(Sales[[#This Row],[List_Price]]*(1-Sales[[#This Row],[Discount]]))</f>
        <v>732160</v>
      </c>
      <c r="Y41" s="150">
        <f>Sales[[#This Row],[Profit]]/Sales[[#This Row],[Cost_Amount]]</f>
        <v>8.9523809523809519E-2</v>
      </c>
    </row>
    <row r="42" spans="1:25" x14ac:dyDescent="0.25">
      <c r="A42" s="17" t="s">
        <v>167</v>
      </c>
      <c r="B42" s="6">
        <v>45764</v>
      </c>
      <c r="C42" s="100">
        <f>MONTH(Sales[[#This Row],[Sale_Date]])</f>
        <v>4</v>
      </c>
      <c r="D42" s="100" t="str">
        <f t="shared" si="0"/>
        <v>April</v>
      </c>
      <c r="E42" s="4" t="s">
        <v>168</v>
      </c>
      <c r="F42" s="4" t="s">
        <v>48</v>
      </c>
      <c r="G42" s="4" t="s">
        <v>91</v>
      </c>
      <c r="H42" s="7">
        <v>6</v>
      </c>
      <c r="I42" s="40">
        <v>0</v>
      </c>
      <c r="J42" s="7">
        <v>20400</v>
      </c>
      <c r="K42" s="33">
        <v>13200</v>
      </c>
      <c r="L42" s="7">
        <v>7200</v>
      </c>
      <c r="M42" s="4" t="s">
        <v>39</v>
      </c>
      <c r="N42" s="18" t="s">
        <v>45</v>
      </c>
      <c r="O42" t="s">
        <v>510</v>
      </c>
      <c r="P42" t="s">
        <v>485</v>
      </c>
      <c r="Q42" t="s">
        <v>424</v>
      </c>
      <c r="R42" t="s">
        <v>398</v>
      </c>
      <c r="S42" t="s">
        <v>402</v>
      </c>
      <c r="T42" t="s">
        <v>467</v>
      </c>
      <c r="U42" t="str">
        <f>INDEX(Product[#All],MATCH(Sales[[#This Row],[Product_ID]],Product[[#All],[Product_ID]],0),MATCH(Sales[[#Headers],[Category]],Product[#Headers],0))</f>
        <v>IT Equipment</v>
      </c>
      <c r="V42" s="76">
        <f>INDEX(Product[#All],MATCH(Sales[[#This Row],[Product_ID]],Product[[#All],[Product_ID]],0),MATCH(Sales[[#Headers],[Unit_Cost]],Product[#Headers],0))</f>
        <v>2200</v>
      </c>
      <c r="W42" s="76">
        <f>INDEX(Product[#All],MATCH(Sales[[#This Row],[Product_ID]],Product[[#All],[Product_ID]],0),MATCH("List_Price",Product[#Headers],0))</f>
        <v>3400</v>
      </c>
      <c r="X42" s="78">
        <f>Sales[[#This Row],[Quantity]]*(Sales[[#This Row],[List_Price]]*(1-Sales[[#This Row],[Discount]]))</f>
        <v>20400</v>
      </c>
      <c r="Y42" s="150">
        <f>Sales[[#This Row],[Profit]]/Sales[[#This Row],[Cost_Amount]]</f>
        <v>0.54545454545454541</v>
      </c>
    </row>
    <row r="43" spans="1:25" x14ac:dyDescent="0.25">
      <c r="A43" s="17" t="s">
        <v>169</v>
      </c>
      <c r="B43" s="6">
        <v>45749</v>
      </c>
      <c r="C43" s="100">
        <f>MONTH(Sales[[#This Row],[Sale_Date]])</f>
        <v>4</v>
      </c>
      <c r="D43" s="100" t="str">
        <f t="shared" si="0"/>
        <v>April</v>
      </c>
      <c r="E43" s="4" t="s">
        <v>170</v>
      </c>
      <c r="F43" s="4" t="s">
        <v>171</v>
      </c>
      <c r="G43" s="4" t="s">
        <v>62</v>
      </c>
      <c r="H43" s="7">
        <v>13</v>
      </c>
      <c r="I43" s="40">
        <v>0.12</v>
      </c>
      <c r="J43" s="7">
        <v>120120</v>
      </c>
      <c r="K43" s="33">
        <v>97500</v>
      </c>
      <c r="L43" s="7">
        <v>22620</v>
      </c>
      <c r="M43" s="4" t="s">
        <v>34</v>
      </c>
      <c r="N43" s="18" t="s">
        <v>35</v>
      </c>
      <c r="O43" t="s">
        <v>558</v>
      </c>
      <c r="P43" t="s">
        <v>478</v>
      </c>
      <c r="Q43" t="s">
        <v>446</v>
      </c>
      <c r="R43" t="s">
        <v>394</v>
      </c>
      <c r="S43" t="s">
        <v>395</v>
      </c>
      <c r="T43" t="s">
        <v>464</v>
      </c>
      <c r="U43" t="str">
        <f>INDEX(Product[#All],MATCH(Sales[[#This Row],[Product_ID]],Product[[#All],[Product_ID]],0),MATCH(Sales[[#Headers],[Category]],Product[#Headers],0))</f>
        <v>Office</v>
      </c>
      <c r="V43" s="76">
        <f>INDEX(Product[#All],MATCH(Sales[[#This Row],[Product_ID]],Product[[#All],[Product_ID]],0),MATCH(Sales[[#Headers],[Unit_Cost]],Product[#Headers],0))</f>
        <v>7500</v>
      </c>
      <c r="W43" s="76">
        <f>INDEX(Product[#All],MATCH(Sales[[#This Row],[Product_ID]],Product[[#All],[Product_ID]],0),MATCH("List_Price",Product[#Headers],0))</f>
        <v>10500</v>
      </c>
      <c r="X43" s="78">
        <f>Sales[[#This Row],[Quantity]]*(Sales[[#This Row],[List_Price]]*(1-Sales[[#This Row],[Discount]]))</f>
        <v>120120</v>
      </c>
      <c r="Y43" s="150">
        <f>Sales[[#This Row],[Profit]]/Sales[[#This Row],[Cost_Amount]]</f>
        <v>0.23200000000000001</v>
      </c>
    </row>
    <row r="44" spans="1:25" x14ac:dyDescent="0.25">
      <c r="A44" s="17" t="s">
        <v>172</v>
      </c>
      <c r="B44" s="6">
        <v>45763</v>
      </c>
      <c r="C44" s="100">
        <f>MONTH(Sales[[#This Row],[Sale_Date]])</f>
        <v>4</v>
      </c>
      <c r="D44" s="100" t="str">
        <f t="shared" si="0"/>
        <v>April</v>
      </c>
      <c r="E44" s="4" t="s">
        <v>173</v>
      </c>
      <c r="F44" s="4" t="s">
        <v>174</v>
      </c>
      <c r="G44" s="4" t="s">
        <v>91</v>
      </c>
      <c r="H44" s="7">
        <v>16</v>
      </c>
      <c r="I44" s="40">
        <v>0</v>
      </c>
      <c r="J44" s="7">
        <v>54400</v>
      </c>
      <c r="K44" s="33">
        <v>35200</v>
      </c>
      <c r="L44" s="7">
        <v>19200</v>
      </c>
      <c r="M44" s="4" t="s">
        <v>102</v>
      </c>
      <c r="N44" s="18" t="s">
        <v>35</v>
      </c>
      <c r="O44" t="s">
        <v>578</v>
      </c>
      <c r="P44" t="s">
        <v>579</v>
      </c>
      <c r="Q44" t="s">
        <v>449</v>
      </c>
      <c r="R44" t="s">
        <v>409</v>
      </c>
      <c r="S44" t="s">
        <v>395</v>
      </c>
      <c r="T44" t="s">
        <v>467</v>
      </c>
      <c r="U44" t="str">
        <f>INDEX(Product[#All],MATCH(Sales[[#This Row],[Product_ID]],Product[[#All],[Product_ID]],0),MATCH(Sales[[#Headers],[Category]],Product[#Headers],0))</f>
        <v>IT Equipment</v>
      </c>
      <c r="V44" s="76">
        <f>INDEX(Product[#All],MATCH(Sales[[#This Row],[Product_ID]],Product[[#All],[Product_ID]],0),MATCH(Sales[[#Headers],[Unit_Cost]],Product[#Headers],0))</f>
        <v>2200</v>
      </c>
      <c r="W44" s="76">
        <f>INDEX(Product[#All],MATCH(Sales[[#This Row],[Product_ID]],Product[[#All],[Product_ID]],0),MATCH("List_Price",Product[#Headers],0))</f>
        <v>3400</v>
      </c>
      <c r="X44" s="78">
        <f>Sales[[#This Row],[Quantity]]*(Sales[[#This Row],[List_Price]]*(1-Sales[[#This Row],[Discount]]))</f>
        <v>54400</v>
      </c>
      <c r="Y44" s="150">
        <f>Sales[[#This Row],[Profit]]/Sales[[#This Row],[Cost_Amount]]</f>
        <v>0.54545454545454541</v>
      </c>
    </row>
    <row r="45" spans="1:25" x14ac:dyDescent="0.25">
      <c r="A45" s="17" t="s">
        <v>175</v>
      </c>
      <c r="B45" s="6">
        <v>45805</v>
      </c>
      <c r="C45" s="100">
        <f>MONTH(Sales[[#This Row],[Sale_Date]])</f>
        <v>5</v>
      </c>
      <c r="D45" s="100" t="str">
        <f t="shared" si="0"/>
        <v>May</v>
      </c>
      <c r="E45" s="4" t="s">
        <v>147</v>
      </c>
      <c r="F45" s="4" t="s">
        <v>48</v>
      </c>
      <c r="G45" s="4" t="s">
        <v>78</v>
      </c>
      <c r="H45" s="7">
        <v>17</v>
      </c>
      <c r="I45" s="40">
        <v>0.12</v>
      </c>
      <c r="J45" s="7">
        <v>134640</v>
      </c>
      <c r="K45" s="33">
        <v>110500</v>
      </c>
      <c r="L45" s="7">
        <v>24140</v>
      </c>
      <c r="M45" s="4" t="s">
        <v>39</v>
      </c>
      <c r="N45" s="18" t="s">
        <v>35</v>
      </c>
      <c r="O45" t="s">
        <v>493</v>
      </c>
      <c r="P45" t="s">
        <v>485</v>
      </c>
      <c r="Q45" t="s">
        <v>424</v>
      </c>
      <c r="R45" t="s">
        <v>398</v>
      </c>
      <c r="S45" t="s">
        <v>402</v>
      </c>
      <c r="T45" t="s">
        <v>465</v>
      </c>
      <c r="U45" t="str">
        <f>INDEX(Product[#All],MATCH(Sales[[#This Row],[Product_ID]],Product[[#All],[Product_ID]],0),MATCH(Sales[[#Headers],[Category]],Product[#Headers],0))</f>
        <v>Office</v>
      </c>
      <c r="V45" s="76">
        <f>INDEX(Product[#All],MATCH(Sales[[#This Row],[Product_ID]],Product[[#All],[Product_ID]],0),MATCH(Sales[[#Headers],[Unit_Cost]],Product[#Headers],0))</f>
        <v>6500</v>
      </c>
      <c r="W45" s="76">
        <f>INDEX(Product[#All],MATCH(Sales[[#This Row],[Product_ID]],Product[[#All],[Product_ID]],0),MATCH("List_Price",Product[#Headers],0))</f>
        <v>9000</v>
      </c>
      <c r="X45" s="78">
        <f>Sales[[#This Row],[Quantity]]*(Sales[[#This Row],[List_Price]]*(1-Sales[[#This Row],[Discount]]))</f>
        <v>134640</v>
      </c>
      <c r="Y45" s="150">
        <f>Sales[[#This Row],[Profit]]/Sales[[#This Row],[Cost_Amount]]</f>
        <v>0.21846153846153846</v>
      </c>
    </row>
    <row r="46" spans="1:25" x14ac:dyDescent="0.25">
      <c r="A46" s="17" t="s">
        <v>176</v>
      </c>
      <c r="B46" s="6">
        <v>45827</v>
      </c>
      <c r="C46" s="100">
        <f>MONTH(Sales[[#This Row],[Sale_Date]])</f>
        <v>6</v>
      </c>
      <c r="D46" s="100" t="str">
        <f t="shared" si="0"/>
        <v>June</v>
      </c>
      <c r="E46" s="4" t="s">
        <v>177</v>
      </c>
      <c r="F46" s="4" t="s">
        <v>161</v>
      </c>
      <c r="G46" s="4" t="s">
        <v>95</v>
      </c>
      <c r="H46" s="7">
        <v>4</v>
      </c>
      <c r="I46" s="40">
        <v>0.05</v>
      </c>
      <c r="J46" s="7">
        <v>197600</v>
      </c>
      <c r="K46" s="33">
        <v>168000</v>
      </c>
      <c r="L46" s="7">
        <v>29600</v>
      </c>
      <c r="M46" s="4" t="s">
        <v>39</v>
      </c>
      <c r="N46" s="18" t="s">
        <v>45</v>
      </c>
      <c r="O46" t="s">
        <v>570</v>
      </c>
      <c r="P46" t="s">
        <v>478</v>
      </c>
      <c r="Q46" t="s">
        <v>434</v>
      </c>
      <c r="R46" t="s">
        <v>409</v>
      </c>
      <c r="S46" t="s">
        <v>402</v>
      </c>
      <c r="T46" t="s">
        <v>455</v>
      </c>
      <c r="U46" t="str">
        <f>INDEX(Product[#All],MATCH(Sales[[#This Row],[Product_ID]],Product[[#All],[Product_ID]],0),MATCH(Sales[[#Headers],[Category]],Product[#Headers],0))</f>
        <v>IT Equipment</v>
      </c>
      <c r="V46" s="76">
        <f>INDEX(Product[#All],MATCH(Sales[[#This Row],[Product_ID]],Product[[#All],[Product_ID]],0),MATCH(Sales[[#Headers],[Unit_Cost]],Product[#Headers],0))</f>
        <v>42000</v>
      </c>
      <c r="W46" s="76">
        <f>INDEX(Product[#All],MATCH(Sales[[#This Row],[Product_ID]],Product[[#All],[Product_ID]],0),MATCH("List_Price",Product[#Headers],0))</f>
        <v>52000</v>
      </c>
      <c r="X46" s="78">
        <f>Sales[[#This Row],[Quantity]]*(Sales[[#This Row],[List_Price]]*(1-Sales[[#This Row],[Discount]]))</f>
        <v>197600</v>
      </c>
      <c r="Y46" s="150">
        <f>Sales[[#This Row],[Profit]]/Sales[[#This Row],[Cost_Amount]]</f>
        <v>0.1761904761904762</v>
      </c>
    </row>
    <row r="47" spans="1:25" x14ac:dyDescent="0.25">
      <c r="A47" s="17" t="s">
        <v>178</v>
      </c>
      <c r="B47" s="6">
        <v>45671</v>
      </c>
      <c r="C47" s="100">
        <f>MONTH(Sales[[#This Row],[Sale_Date]])</f>
        <v>1</v>
      </c>
      <c r="D47" s="100" t="str">
        <f t="shared" si="0"/>
        <v>January</v>
      </c>
      <c r="E47" s="4" t="s">
        <v>572</v>
      </c>
      <c r="F47" s="4" t="s">
        <v>42</v>
      </c>
      <c r="G47" s="4" t="s">
        <v>78</v>
      </c>
      <c r="H47" s="7">
        <v>18</v>
      </c>
      <c r="I47" s="40">
        <v>0.08</v>
      </c>
      <c r="J47" s="7">
        <v>149040</v>
      </c>
      <c r="K47" s="33">
        <v>117000</v>
      </c>
      <c r="L47" s="7">
        <v>32040</v>
      </c>
      <c r="M47" s="4" t="s">
        <v>44</v>
      </c>
      <c r="N47" s="18" t="s">
        <v>45</v>
      </c>
      <c r="O47" t="s">
        <v>573</v>
      </c>
      <c r="P47" t="s">
        <v>478</v>
      </c>
      <c r="Q47" t="s">
        <v>440</v>
      </c>
      <c r="R47" t="s">
        <v>394</v>
      </c>
      <c r="S47" t="s">
        <v>395</v>
      </c>
      <c r="T47" t="s">
        <v>465</v>
      </c>
      <c r="U47" t="str">
        <f>INDEX(Product[#All],MATCH(Sales[[#This Row],[Product_ID]],Product[[#All],[Product_ID]],0),MATCH(Sales[[#Headers],[Category]],Product[#Headers],0))</f>
        <v>Office</v>
      </c>
      <c r="V47" s="76">
        <f>INDEX(Product[#All],MATCH(Sales[[#This Row],[Product_ID]],Product[[#All],[Product_ID]],0),MATCH(Sales[[#Headers],[Unit_Cost]],Product[#Headers],0))</f>
        <v>6500</v>
      </c>
      <c r="W47" s="76">
        <f>INDEX(Product[#All],MATCH(Sales[[#This Row],[Product_ID]],Product[[#All],[Product_ID]],0),MATCH("List_Price",Product[#Headers],0))</f>
        <v>9000</v>
      </c>
      <c r="X47" s="78">
        <f>Sales[[#This Row],[Quantity]]*(Sales[[#This Row],[List_Price]]*(1-Sales[[#This Row],[Discount]]))</f>
        <v>149040</v>
      </c>
      <c r="Y47" s="150">
        <f>Sales[[#This Row],[Profit]]/Sales[[#This Row],[Cost_Amount]]</f>
        <v>0.27384615384615385</v>
      </c>
    </row>
    <row r="48" spans="1:25" x14ac:dyDescent="0.25">
      <c r="A48" s="17" t="s">
        <v>180</v>
      </c>
      <c r="B48" s="6">
        <v>45783</v>
      </c>
      <c r="C48" s="100">
        <f>MONTH(Sales[[#This Row],[Sale_Date]])</f>
        <v>5</v>
      </c>
      <c r="D48" s="100" t="str">
        <f t="shared" si="0"/>
        <v>May</v>
      </c>
      <c r="E48" s="4" t="s">
        <v>181</v>
      </c>
      <c r="F48" s="4" t="s">
        <v>182</v>
      </c>
      <c r="G48" s="4" t="s">
        <v>53</v>
      </c>
      <c r="H48" s="7">
        <v>6</v>
      </c>
      <c r="I48" s="40">
        <v>0</v>
      </c>
      <c r="J48" s="7">
        <v>25200</v>
      </c>
      <c r="K48" s="33">
        <v>16800</v>
      </c>
      <c r="L48" s="7">
        <v>8400</v>
      </c>
      <c r="M48" s="4" t="s">
        <v>102</v>
      </c>
      <c r="N48" s="18" t="s">
        <v>122</v>
      </c>
      <c r="O48" t="s">
        <v>541</v>
      </c>
      <c r="P48" t="s">
        <v>535</v>
      </c>
      <c r="Q48" t="s">
        <v>404</v>
      </c>
      <c r="R48" t="s">
        <v>398</v>
      </c>
      <c r="S48" t="s">
        <v>395</v>
      </c>
      <c r="T48" t="s">
        <v>473</v>
      </c>
      <c r="U48" t="str">
        <f>INDEX(Product[#All],MATCH(Sales[[#This Row],[Product_ID]],Product[[#All],[Product_ID]],0),MATCH(Sales[[#Headers],[Category]],Product[#Headers],0))</f>
        <v>IT Equipment</v>
      </c>
      <c r="V48" s="76">
        <f>INDEX(Product[#All],MATCH(Sales[[#This Row],[Product_ID]],Product[[#All],[Product_ID]],0),MATCH(Sales[[#Headers],[Unit_Cost]],Product[#Headers],0))</f>
        <v>2800</v>
      </c>
      <c r="W48" s="76">
        <f>INDEX(Product[#All],MATCH(Sales[[#This Row],[Product_ID]],Product[[#All],[Product_ID]],0),MATCH("List_Price",Product[#Headers],0))</f>
        <v>4200</v>
      </c>
      <c r="X48" s="78">
        <f>Sales[[#This Row],[Quantity]]*(Sales[[#This Row],[List_Price]]*(1-Sales[[#This Row],[Discount]]))</f>
        <v>25200</v>
      </c>
      <c r="Y48" s="150">
        <f>Sales[[#This Row],[Profit]]/Sales[[#This Row],[Cost_Amount]]</f>
        <v>0.5</v>
      </c>
    </row>
    <row r="49" spans="1:25" x14ac:dyDescent="0.25">
      <c r="A49" s="17" t="s">
        <v>183</v>
      </c>
      <c r="B49" s="6">
        <v>45718</v>
      </c>
      <c r="C49" s="100">
        <f>MONTH(Sales[[#This Row],[Sale_Date]])</f>
        <v>3</v>
      </c>
      <c r="D49" s="100" t="str">
        <f t="shared" si="0"/>
        <v>March</v>
      </c>
      <c r="E49" s="4" t="s">
        <v>184</v>
      </c>
      <c r="F49" s="4" t="s">
        <v>185</v>
      </c>
      <c r="G49" s="4" t="s">
        <v>85</v>
      </c>
      <c r="H49" s="7">
        <v>13</v>
      </c>
      <c r="I49" s="40">
        <v>0.05</v>
      </c>
      <c r="J49" s="7">
        <v>80275</v>
      </c>
      <c r="K49" s="33">
        <v>54600</v>
      </c>
      <c r="L49" s="7">
        <v>25675</v>
      </c>
      <c r="M49" s="4" t="s">
        <v>102</v>
      </c>
      <c r="N49" s="18" t="s">
        <v>35</v>
      </c>
      <c r="O49" t="s">
        <v>499</v>
      </c>
      <c r="P49" t="s">
        <v>485</v>
      </c>
      <c r="Q49" t="s">
        <v>448</v>
      </c>
      <c r="R49" t="s">
        <v>394</v>
      </c>
      <c r="S49" t="s">
        <v>402</v>
      </c>
      <c r="T49" t="s">
        <v>474</v>
      </c>
      <c r="U49" t="str">
        <f>INDEX(Product[#All],MATCH(Sales[[#This Row],[Product_ID]],Product[[#All],[Product_ID]],0),MATCH(Sales[[#Headers],[Category]],Product[#Headers],0))</f>
        <v>Office</v>
      </c>
      <c r="V49" s="76">
        <f>INDEX(Product[#All],MATCH(Sales[[#This Row],[Product_ID]],Product[[#All],[Product_ID]],0),MATCH(Sales[[#Headers],[Unit_Cost]],Product[#Headers],0))</f>
        <v>4200</v>
      </c>
      <c r="W49" s="76">
        <f>INDEX(Product[#All],MATCH(Sales[[#This Row],[Product_ID]],Product[[#All],[Product_ID]],0),MATCH("List_Price",Product[#Headers],0))</f>
        <v>6500</v>
      </c>
      <c r="X49" s="78">
        <f>Sales[[#This Row],[Quantity]]*(Sales[[#This Row],[List_Price]]*(1-Sales[[#This Row],[Discount]]))</f>
        <v>80275</v>
      </c>
      <c r="Y49" s="150">
        <f>Sales[[#This Row],[Profit]]/Sales[[#This Row],[Cost_Amount]]</f>
        <v>0.47023809523809523</v>
      </c>
    </row>
    <row r="50" spans="1:25" x14ac:dyDescent="0.25">
      <c r="A50" s="17" t="s">
        <v>186</v>
      </c>
      <c r="B50" s="6">
        <v>45688</v>
      </c>
      <c r="C50" s="100">
        <f>MONTH(Sales[[#This Row],[Sale_Date]])</f>
        <v>1</v>
      </c>
      <c r="D50" s="100" t="str">
        <f t="shared" si="0"/>
        <v>January</v>
      </c>
      <c r="E50" s="4" t="s">
        <v>141</v>
      </c>
      <c r="F50" s="4" t="s">
        <v>52</v>
      </c>
      <c r="G50" s="4" t="s">
        <v>67</v>
      </c>
      <c r="H50" s="7">
        <v>15</v>
      </c>
      <c r="I50" s="40">
        <v>0.03</v>
      </c>
      <c r="J50" s="7">
        <v>98940</v>
      </c>
      <c r="K50" s="33">
        <v>67500</v>
      </c>
      <c r="L50" s="7">
        <v>31440</v>
      </c>
      <c r="M50" s="4" t="s">
        <v>39</v>
      </c>
      <c r="N50" s="18" t="s">
        <v>45</v>
      </c>
      <c r="O50" t="s">
        <v>540</v>
      </c>
      <c r="P50" t="s">
        <v>535</v>
      </c>
      <c r="Q50" t="s">
        <v>429</v>
      </c>
      <c r="R50" t="s">
        <v>394</v>
      </c>
      <c r="S50" t="s">
        <v>395</v>
      </c>
      <c r="T50" t="s">
        <v>466</v>
      </c>
      <c r="U50" t="str">
        <f>INDEX(Product[#All],MATCH(Sales[[#This Row],[Product_ID]],Product[[#All],[Product_ID]],0),MATCH(Sales[[#Headers],[Category]],Product[#Headers],0))</f>
        <v>IT Equipment</v>
      </c>
      <c r="V50" s="76">
        <f>INDEX(Product[#All],MATCH(Sales[[#This Row],[Product_ID]],Product[[#All],[Product_ID]],0),MATCH(Sales[[#Headers],[Unit_Cost]],Product[#Headers],0))</f>
        <v>4500</v>
      </c>
      <c r="W50" s="76">
        <f>INDEX(Product[#All],MATCH(Sales[[#This Row],[Product_ID]],Product[[#All],[Product_ID]],0),MATCH("List_Price",Product[#Headers],0))</f>
        <v>6800</v>
      </c>
      <c r="X50" s="78">
        <f>Sales[[#This Row],[Quantity]]*(Sales[[#This Row],[List_Price]]*(1-Sales[[#This Row],[Discount]]))</f>
        <v>98940</v>
      </c>
      <c r="Y50" s="150">
        <f>Sales[[#This Row],[Profit]]/Sales[[#This Row],[Cost_Amount]]</f>
        <v>0.46577777777777779</v>
      </c>
    </row>
    <row r="51" spans="1:25" x14ac:dyDescent="0.25">
      <c r="A51" s="17" t="s">
        <v>188</v>
      </c>
      <c r="B51" s="6">
        <v>45658</v>
      </c>
      <c r="C51" s="100">
        <f>MONTH(Sales[[#This Row],[Sale_Date]])</f>
        <v>1</v>
      </c>
      <c r="D51" s="100" t="str">
        <f t="shared" si="0"/>
        <v>January</v>
      </c>
      <c r="E51" s="4" t="s">
        <v>189</v>
      </c>
      <c r="F51" s="4" t="s">
        <v>38</v>
      </c>
      <c r="G51" s="4" t="s">
        <v>81</v>
      </c>
      <c r="H51" s="7">
        <v>18</v>
      </c>
      <c r="I51" s="40">
        <v>0.08</v>
      </c>
      <c r="J51" s="7">
        <v>149040</v>
      </c>
      <c r="K51" s="33">
        <v>117000</v>
      </c>
      <c r="L51" s="7">
        <v>32040</v>
      </c>
      <c r="M51" s="4" t="s">
        <v>39</v>
      </c>
      <c r="N51" s="18" t="s">
        <v>35</v>
      </c>
      <c r="O51" t="s">
        <v>533</v>
      </c>
      <c r="P51" t="s">
        <v>520</v>
      </c>
      <c r="Q51" t="s">
        <v>427</v>
      </c>
      <c r="R51" t="s">
        <v>398</v>
      </c>
      <c r="S51" t="s">
        <v>399</v>
      </c>
      <c r="T51" t="s">
        <v>470</v>
      </c>
      <c r="U51" t="str">
        <f>INDEX(Product[#All],MATCH(Sales[[#This Row],[Product_ID]],Product[[#All],[Product_ID]],0),MATCH(Sales[[#Headers],[Category]],Product[#Headers],0))</f>
        <v>IT Equipment</v>
      </c>
      <c r="V51" s="76">
        <f>INDEX(Product[#All],MATCH(Sales[[#This Row],[Product_ID]],Product[[#All],[Product_ID]],0),MATCH(Sales[[#Headers],[Unit_Cost]],Product[#Headers],0))</f>
        <v>6500</v>
      </c>
      <c r="W51" s="76">
        <f>INDEX(Product[#All],MATCH(Sales[[#This Row],[Product_ID]],Product[[#All],[Product_ID]],0),MATCH("List_Price",Product[#Headers],0))</f>
        <v>9000</v>
      </c>
      <c r="X51" s="78">
        <f>Sales[[#This Row],[Quantity]]*(Sales[[#This Row],[List_Price]]*(1-Sales[[#This Row],[Discount]]))</f>
        <v>149040</v>
      </c>
      <c r="Y51" s="150">
        <f>Sales[[#This Row],[Profit]]/Sales[[#This Row],[Cost_Amount]]</f>
        <v>0.27384615384615385</v>
      </c>
    </row>
    <row r="52" spans="1:25" x14ac:dyDescent="0.25">
      <c r="A52" s="17" t="s">
        <v>190</v>
      </c>
      <c r="B52" s="6">
        <v>45825</v>
      </c>
      <c r="C52" s="100">
        <f>MONTH(Sales[[#This Row],[Sale_Date]])</f>
        <v>6</v>
      </c>
      <c r="D52" s="100" t="str">
        <f t="shared" si="0"/>
        <v>June</v>
      </c>
      <c r="E52" s="4" t="s">
        <v>191</v>
      </c>
      <c r="F52" s="4" t="s">
        <v>192</v>
      </c>
      <c r="G52" s="4" t="s">
        <v>81</v>
      </c>
      <c r="H52" s="7">
        <v>18</v>
      </c>
      <c r="I52" s="40">
        <v>0</v>
      </c>
      <c r="J52" s="7">
        <v>162000</v>
      </c>
      <c r="K52" s="33">
        <v>117000</v>
      </c>
      <c r="L52" s="7">
        <v>45000</v>
      </c>
      <c r="M52" s="4" t="s">
        <v>34</v>
      </c>
      <c r="N52" s="18" t="s">
        <v>35</v>
      </c>
      <c r="O52" t="s">
        <v>567</v>
      </c>
      <c r="P52" t="s">
        <v>478</v>
      </c>
      <c r="Q52" t="s">
        <v>393</v>
      </c>
      <c r="R52" t="s">
        <v>394</v>
      </c>
      <c r="S52" t="s">
        <v>395</v>
      </c>
      <c r="T52" t="s">
        <v>470</v>
      </c>
      <c r="U52" t="str">
        <f>INDEX(Product[#All],MATCH(Sales[[#This Row],[Product_ID]],Product[[#All],[Product_ID]],0),MATCH(Sales[[#Headers],[Category]],Product[#Headers],0))</f>
        <v>IT Equipment</v>
      </c>
      <c r="V52" s="76">
        <f>INDEX(Product[#All],MATCH(Sales[[#This Row],[Product_ID]],Product[[#All],[Product_ID]],0),MATCH(Sales[[#Headers],[Unit_Cost]],Product[#Headers],0))</f>
        <v>6500</v>
      </c>
      <c r="W52" s="76">
        <f>INDEX(Product[#All],MATCH(Sales[[#This Row],[Product_ID]],Product[[#All],[Product_ID]],0),MATCH("List_Price",Product[#Headers],0))</f>
        <v>9000</v>
      </c>
      <c r="X52" s="78">
        <f>Sales[[#This Row],[Quantity]]*(Sales[[#This Row],[List_Price]]*(1-Sales[[#This Row],[Discount]]))</f>
        <v>162000</v>
      </c>
      <c r="Y52" s="150">
        <f>Sales[[#This Row],[Profit]]/Sales[[#This Row],[Cost_Amount]]</f>
        <v>0.38461538461538464</v>
      </c>
    </row>
    <row r="53" spans="1:25" x14ac:dyDescent="0.25">
      <c r="A53" s="17" t="s">
        <v>193</v>
      </c>
      <c r="B53" s="6">
        <v>45801</v>
      </c>
      <c r="C53" s="100">
        <f>MONTH(Sales[[#This Row],[Sale_Date]])</f>
        <v>5</v>
      </c>
      <c r="D53" s="100" t="str">
        <f t="shared" si="0"/>
        <v>May</v>
      </c>
      <c r="E53" s="4" t="s">
        <v>194</v>
      </c>
      <c r="F53" s="4" t="s">
        <v>158</v>
      </c>
      <c r="G53" s="4" t="s">
        <v>195</v>
      </c>
      <c r="H53" s="7">
        <v>15</v>
      </c>
      <c r="I53" s="40">
        <v>0.03</v>
      </c>
      <c r="J53" s="7">
        <v>16005</v>
      </c>
      <c r="K53" s="33">
        <v>9750</v>
      </c>
      <c r="L53" s="7">
        <v>6255</v>
      </c>
      <c r="M53" s="4" t="s">
        <v>44</v>
      </c>
      <c r="N53" s="18" t="s">
        <v>35</v>
      </c>
      <c r="O53" t="s">
        <v>591</v>
      </c>
      <c r="P53" t="s">
        <v>590</v>
      </c>
      <c r="Q53" t="s">
        <v>430</v>
      </c>
      <c r="R53" t="s">
        <v>394</v>
      </c>
      <c r="S53" t="s">
        <v>395</v>
      </c>
      <c r="T53" t="s">
        <v>461</v>
      </c>
      <c r="U53" t="str">
        <f>INDEX(Product[#All],MATCH(Sales[[#This Row],[Product_ID]],Product[[#All],[Product_ID]],0),MATCH(Sales[[#Headers],[Category]],Product[#Headers],0))</f>
        <v>Accessories</v>
      </c>
      <c r="V53" s="76">
        <f>INDEX(Product[#All],MATCH(Sales[[#This Row],[Product_ID]],Product[[#All],[Product_ID]],0),MATCH(Sales[[#Headers],[Unit_Cost]],Product[#Headers],0))</f>
        <v>650</v>
      </c>
      <c r="W53" s="76">
        <f>INDEX(Product[#All],MATCH(Sales[[#This Row],[Product_ID]],Product[[#All],[Product_ID]],0),MATCH("List_Price",Product[#Headers],0))</f>
        <v>1100</v>
      </c>
      <c r="X53" s="78">
        <f>Sales[[#This Row],[Quantity]]*(Sales[[#This Row],[List_Price]]*(1-Sales[[#This Row],[Discount]]))</f>
        <v>16005</v>
      </c>
      <c r="Y53" s="150">
        <f>Sales[[#This Row],[Profit]]/Sales[[#This Row],[Cost_Amount]]</f>
        <v>0.6415384615384615</v>
      </c>
    </row>
    <row r="54" spans="1:25" x14ac:dyDescent="0.25">
      <c r="A54" s="17" t="s">
        <v>196</v>
      </c>
      <c r="B54" s="6">
        <v>45826</v>
      </c>
      <c r="C54" s="100">
        <f>MONTH(Sales[[#This Row],[Sale_Date]])</f>
        <v>6</v>
      </c>
      <c r="D54" s="100" t="str">
        <f t="shared" si="0"/>
        <v>June</v>
      </c>
      <c r="E54" s="4" t="s">
        <v>197</v>
      </c>
      <c r="F54" s="4" t="s">
        <v>74</v>
      </c>
      <c r="G54" s="4" t="s">
        <v>33</v>
      </c>
      <c r="H54" s="7">
        <v>4</v>
      </c>
      <c r="I54" s="40">
        <v>0</v>
      </c>
      <c r="J54" s="7">
        <v>14400</v>
      </c>
      <c r="K54" s="33">
        <v>9600</v>
      </c>
      <c r="L54" s="7">
        <v>4800</v>
      </c>
      <c r="M54" s="4" t="s">
        <v>63</v>
      </c>
      <c r="N54" s="18" t="s">
        <v>35</v>
      </c>
      <c r="O54" t="s">
        <v>513</v>
      </c>
      <c r="P54" t="s">
        <v>485</v>
      </c>
      <c r="Q54" t="s">
        <v>431</v>
      </c>
      <c r="R54" t="s">
        <v>398</v>
      </c>
      <c r="S54" t="s">
        <v>402</v>
      </c>
      <c r="T54" t="s">
        <v>475</v>
      </c>
      <c r="U54" t="str">
        <f>INDEX(Product[#All],MATCH(Sales[[#This Row],[Product_ID]],Product[[#All],[Product_ID]],0),MATCH(Sales[[#Headers],[Category]],Product[#Headers],0))</f>
        <v>Accessories</v>
      </c>
      <c r="V54" s="76">
        <f>INDEX(Product[#All],MATCH(Sales[[#This Row],[Product_ID]],Product[[#All],[Product_ID]],0),MATCH(Sales[[#Headers],[Unit_Cost]],Product[#Headers],0))</f>
        <v>2400</v>
      </c>
      <c r="W54" s="76">
        <f>INDEX(Product[#All],MATCH(Sales[[#This Row],[Product_ID]],Product[[#All],[Product_ID]],0),MATCH("List_Price",Product[#Headers],0))</f>
        <v>3600</v>
      </c>
      <c r="X54" s="78">
        <f>Sales[[#This Row],[Quantity]]*(Sales[[#This Row],[List_Price]]*(1-Sales[[#This Row],[Discount]]))</f>
        <v>14400</v>
      </c>
      <c r="Y54" s="150">
        <f>Sales[[#This Row],[Profit]]/Sales[[#This Row],[Cost_Amount]]</f>
        <v>0.5</v>
      </c>
    </row>
    <row r="55" spans="1:25" x14ac:dyDescent="0.25">
      <c r="A55" s="17" t="s">
        <v>198</v>
      </c>
      <c r="B55" s="6">
        <v>45685</v>
      </c>
      <c r="C55" s="100">
        <f>MONTH(Sales[[#This Row],[Sale_Date]])</f>
        <v>1</v>
      </c>
      <c r="D55" s="100" t="str">
        <f t="shared" si="0"/>
        <v>January</v>
      </c>
      <c r="E55" s="4" t="s">
        <v>205</v>
      </c>
      <c r="F55" s="4" t="s">
        <v>174</v>
      </c>
      <c r="G55" s="4" t="s">
        <v>49</v>
      </c>
      <c r="H55" s="7">
        <v>12</v>
      </c>
      <c r="I55" s="40">
        <v>0.1</v>
      </c>
      <c r="J55" s="7">
        <v>51840</v>
      </c>
      <c r="K55" s="33">
        <v>38400</v>
      </c>
      <c r="L55" s="7">
        <v>13440</v>
      </c>
      <c r="M55" s="4" t="s">
        <v>102</v>
      </c>
      <c r="N55" s="18" t="s">
        <v>45</v>
      </c>
      <c r="O55" t="s">
        <v>563</v>
      </c>
      <c r="P55" t="s">
        <v>478</v>
      </c>
      <c r="Q55" t="s">
        <v>449</v>
      </c>
      <c r="R55" t="s">
        <v>409</v>
      </c>
      <c r="S55" t="s">
        <v>395</v>
      </c>
      <c r="T55" t="s">
        <v>472</v>
      </c>
      <c r="U55" t="str">
        <f>INDEX(Product[#All],MATCH(Sales[[#This Row],[Product_ID]],Product[[#All],[Product_ID]],0),MATCH(Sales[[#Headers],[Category]],Product[#Headers],0))</f>
        <v>IT Equipment</v>
      </c>
      <c r="V55" s="76">
        <f>INDEX(Product[#All],MATCH(Sales[[#This Row],[Product_ID]],Product[[#All],[Product_ID]],0),MATCH(Sales[[#Headers],[Unit_Cost]],Product[#Headers],0))</f>
        <v>3200</v>
      </c>
      <c r="W55" s="76">
        <f>INDEX(Product[#All],MATCH(Sales[[#This Row],[Product_ID]],Product[[#All],[Product_ID]],0),MATCH("List_Price",Product[#Headers],0))</f>
        <v>4800</v>
      </c>
      <c r="X55" s="78">
        <f>Sales[[#This Row],[Quantity]]*(Sales[[#This Row],[List_Price]]*(1-Sales[[#This Row],[Discount]]))</f>
        <v>51840</v>
      </c>
      <c r="Y55" s="150">
        <f>Sales[[#This Row],[Profit]]/Sales[[#This Row],[Cost_Amount]]</f>
        <v>0.35</v>
      </c>
    </row>
    <row r="56" spans="1:25" x14ac:dyDescent="0.25">
      <c r="A56" s="17" t="s">
        <v>200</v>
      </c>
      <c r="B56" s="6">
        <v>45688</v>
      </c>
      <c r="C56" s="100">
        <f>MONTH(Sales[[#This Row],[Sale_Date]])</f>
        <v>1</v>
      </c>
      <c r="D56" s="100" t="str">
        <f t="shared" si="0"/>
        <v>January</v>
      </c>
      <c r="E56" s="4" t="s">
        <v>201</v>
      </c>
      <c r="F56" s="4" t="s">
        <v>202</v>
      </c>
      <c r="G56" s="4" t="s">
        <v>145</v>
      </c>
      <c r="H56" s="7">
        <v>7</v>
      </c>
      <c r="I56" s="40">
        <v>0</v>
      </c>
      <c r="J56" s="7">
        <v>17500</v>
      </c>
      <c r="K56" s="33">
        <v>11200</v>
      </c>
      <c r="L56" s="7">
        <v>6300</v>
      </c>
      <c r="M56" s="4" t="s">
        <v>102</v>
      </c>
      <c r="N56" s="18" t="s">
        <v>35</v>
      </c>
      <c r="O56" t="s">
        <v>562</v>
      </c>
      <c r="P56" t="s">
        <v>478</v>
      </c>
      <c r="Q56" t="s">
        <v>420</v>
      </c>
      <c r="R56" t="s">
        <v>409</v>
      </c>
      <c r="S56" t="s">
        <v>395</v>
      </c>
      <c r="T56" t="s">
        <v>469</v>
      </c>
      <c r="U56" t="str">
        <f>INDEX(Product[#All],MATCH(Sales[[#This Row],[Product_ID]],Product[[#All],[Product_ID]],0),MATCH(Sales[[#Headers],[Category]],Product[#Headers],0))</f>
        <v>Accessories</v>
      </c>
      <c r="V56" s="76">
        <f>INDEX(Product[#All],MATCH(Sales[[#This Row],[Product_ID]],Product[[#All],[Product_ID]],0),MATCH(Sales[[#Headers],[Unit_Cost]],Product[#Headers],0))</f>
        <v>1600</v>
      </c>
      <c r="W56" s="76">
        <f>INDEX(Product[#All],MATCH(Sales[[#This Row],[Product_ID]],Product[[#All],[Product_ID]],0),MATCH("List_Price",Product[#Headers],0))</f>
        <v>2500</v>
      </c>
      <c r="X56" s="78">
        <f>Sales[[#This Row],[Quantity]]*(Sales[[#This Row],[List_Price]]*(1-Sales[[#This Row],[Discount]]))</f>
        <v>17500</v>
      </c>
      <c r="Y56" s="150">
        <f>Sales[[#This Row],[Profit]]/Sales[[#This Row],[Cost_Amount]]</f>
        <v>0.5625</v>
      </c>
    </row>
    <row r="57" spans="1:25" x14ac:dyDescent="0.25">
      <c r="A57" s="17" t="s">
        <v>203</v>
      </c>
      <c r="B57" s="6">
        <v>45764</v>
      </c>
      <c r="C57" s="100">
        <f>MONTH(Sales[[#This Row],[Sale_Date]])</f>
        <v>4</v>
      </c>
      <c r="D57" s="100" t="str">
        <f t="shared" si="0"/>
        <v>April</v>
      </c>
      <c r="E57" s="4" t="s">
        <v>572</v>
      </c>
      <c r="F57" s="4" t="s">
        <v>98</v>
      </c>
      <c r="G57" s="4" t="s">
        <v>67</v>
      </c>
      <c r="H57" s="7">
        <v>4</v>
      </c>
      <c r="I57" s="40">
        <v>0.12</v>
      </c>
      <c r="J57" s="7">
        <v>23936</v>
      </c>
      <c r="K57" s="33">
        <v>18000</v>
      </c>
      <c r="L57" s="7">
        <v>5936</v>
      </c>
      <c r="M57" s="4" t="s">
        <v>39</v>
      </c>
      <c r="N57" s="18" t="s">
        <v>35</v>
      </c>
      <c r="O57" t="s">
        <v>573</v>
      </c>
      <c r="P57" t="s">
        <v>478</v>
      </c>
      <c r="Q57" t="s">
        <v>428</v>
      </c>
      <c r="R57" t="s">
        <v>409</v>
      </c>
      <c r="S57" t="s">
        <v>399</v>
      </c>
      <c r="T57" t="s">
        <v>466</v>
      </c>
      <c r="U57" t="str">
        <f>INDEX(Product[#All],MATCH(Sales[[#This Row],[Product_ID]],Product[[#All],[Product_ID]],0),MATCH(Sales[[#Headers],[Category]],Product[#Headers],0))</f>
        <v>IT Equipment</v>
      </c>
      <c r="V57" s="76">
        <f>INDEX(Product[#All],MATCH(Sales[[#This Row],[Product_ID]],Product[[#All],[Product_ID]],0),MATCH(Sales[[#Headers],[Unit_Cost]],Product[#Headers],0))</f>
        <v>4500</v>
      </c>
      <c r="W57" s="76">
        <f>INDEX(Product[#All],MATCH(Sales[[#This Row],[Product_ID]],Product[[#All],[Product_ID]],0),MATCH("List_Price",Product[#Headers],0))</f>
        <v>6800</v>
      </c>
      <c r="X57" s="78">
        <f>Sales[[#This Row],[Quantity]]*(Sales[[#This Row],[List_Price]]*(1-Sales[[#This Row],[Discount]]))</f>
        <v>23936</v>
      </c>
      <c r="Y57" s="150">
        <f>Sales[[#This Row],[Profit]]/Sales[[#This Row],[Cost_Amount]]</f>
        <v>0.32977777777777778</v>
      </c>
    </row>
    <row r="58" spans="1:25" x14ac:dyDescent="0.25">
      <c r="A58" s="17" t="s">
        <v>204</v>
      </c>
      <c r="B58" s="6">
        <v>45826</v>
      </c>
      <c r="C58" s="100">
        <f>MONTH(Sales[[#This Row],[Sale_Date]])</f>
        <v>6</v>
      </c>
      <c r="D58" s="100" t="str">
        <f t="shared" si="0"/>
        <v>June</v>
      </c>
      <c r="E58" s="4" t="s">
        <v>205</v>
      </c>
      <c r="F58" s="4" t="s">
        <v>161</v>
      </c>
      <c r="G58" s="4" t="s">
        <v>43</v>
      </c>
      <c r="H58" s="7">
        <v>15</v>
      </c>
      <c r="I58" s="40">
        <v>0.05</v>
      </c>
      <c r="J58" s="7">
        <v>27075</v>
      </c>
      <c r="K58" s="33">
        <v>18000</v>
      </c>
      <c r="L58" s="7">
        <v>9075</v>
      </c>
      <c r="M58" s="4" t="s">
        <v>39</v>
      </c>
      <c r="N58" s="18" t="s">
        <v>35</v>
      </c>
      <c r="O58" t="s">
        <v>563</v>
      </c>
      <c r="P58" t="s">
        <v>478</v>
      </c>
      <c r="Q58" t="s">
        <v>434</v>
      </c>
      <c r="R58" t="s">
        <v>409</v>
      </c>
      <c r="S58" t="s">
        <v>402</v>
      </c>
      <c r="T58" t="s">
        <v>468</v>
      </c>
      <c r="U58" t="str">
        <f>INDEX(Product[#All],MATCH(Sales[[#This Row],[Product_ID]],Product[[#All],[Product_ID]],0),MATCH(Sales[[#Headers],[Category]],Product[#Headers],0))</f>
        <v>Accessories</v>
      </c>
      <c r="V58" s="76">
        <f>INDEX(Product[#All],MATCH(Sales[[#This Row],[Product_ID]],Product[[#All],[Product_ID]],0),MATCH(Sales[[#Headers],[Unit_Cost]],Product[#Headers],0))</f>
        <v>1200</v>
      </c>
      <c r="W58" s="76">
        <f>INDEX(Product[#All],MATCH(Sales[[#This Row],[Product_ID]],Product[[#All],[Product_ID]],0),MATCH("List_Price",Product[#Headers],0))</f>
        <v>1900</v>
      </c>
      <c r="X58" s="78">
        <f>Sales[[#This Row],[Quantity]]*(Sales[[#This Row],[List_Price]]*(1-Sales[[#This Row],[Discount]]))</f>
        <v>27075</v>
      </c>
      <c r="Y58" s="150">
        <f>Sales[[#This Row],[Profit]]/Sales[[#This Row],[Cost_Amount]]</f>
        <v>0.50416666666666665</v>
      </c>
    </row>
    <row r="59" spans="1:25" x14ac:dyDescent="0.25">
      <c r="A59" s="17" t="s">
        <v>206</v>
      </c>
      <c r="B59" s="6">
        <v>45768</v>
      </c>
      <c r="C59" s="100">
        <f>MONTH(Sales[[#This Row],[Sale_Date]])</f>
        <v>4</v>
      </c>
      <c r="D59" s="100" t="str">
        <f t="shared" si="0"/>
        <v>April</v>
      </c>
      <c r="E59" s="4" t="s">
        <v>207</v>
      </c>
      <c r="F59" s="4" t="s">
        <v>174</v>
      </c>
      <c r="G59" s="4" t="s">
        <v>57</v>
      </c>
      <c r="H59" s="7">
        <v>2</v>
      </c>
      <c r="I59" s="40">
        <v>0.08</v>
      </c>
      <c r="J59" s="7">
        <v>9568</v>
      </c>
      <c r="K59" s="33">
        <v>7000</v>
      </c>
      <c r="L59" s="7">
        <v>2568</v>
      </c>
      <c r="M59" s="4" t="s">
        <v>102</v>
      </c>
      <c r="N59" s="18" t="s">
        <v>35</v>
      </c>
      <c r="O59" t="s">
        <v>526</v>
      </c>
      <c r="P59" t="s">
        <v>520</v>
      </c>
      <c r="Q59" t="s">
        <v>449</v>
      </c>
      <c r="R59" t="s">
        <v>409</v>
      </c>
      <c r="S59" t="s">
        <v>395</v>
      </c>
      <c r="T59" t="s">
        <v>477</v>
      </c>
      <c r="U59" t="str">
        <f>INDEX(Product[#All],MATCH(Sales[[#This Row],[Product_ID]],Product[[#All],[Product_ID]],0),MATCH(Sales[[#Headers],[Category]],Product[#Headers],0))</f>
        <v>Operations</v>
      </c>
      <c r="V59" s="76">
        <f>INDEX(Product[#All],MATCH(Sales[[#This Row],[Product_ID]],Product[[#All],[Product_ID]],0),MATCH(Sales[[#Headers],[Unit_Cost]],Product[#Headers],0))</f>
        <v>3500</v>
      </c>
      <c r="W59" s="76">
        <f>INDEX(Product[#All],MATCH(Sales[[#This Row],[Product_ID]],Product[[#All],[Product_ID]],0),MATCH("List_Price",Product[#Headers],0))</f>
        <v>5200</v>
      </c>
      <c r="X59" s="78">
        <f>Sales[[#This Row],[Quantity]]*(Sales[[#This Row],[List_Price]]*(1-Sales[[#This Row],[Discount]]))</f>
        <v>9568</v>
      </c>
      <c r="Y59" s="150">
        <f>Sales[[#This Row],[Profit]]/Sales[[#This Row],[Cost_Amount]]</f>
        <v>0.36685714285714288</v>
      </c>
    </row>
    <row r="60" spans="1:25" x14ac:dyDescent="0.25">
      <c r="A60" s="17" t="s">
        <v>208</v>
      </c>
      <c r="B60" s="6">
        <v>45690</v>
      </c>
      <c r="C60" s="100">
        <f>MONTH(Sales[[#This Row],[Sale_Date]])</f>
        <v>2</v>
      </c>
      <c r="D60" s="100" t="str">
        <f t="shared" si="0"/>
        <v>February</v>
      </c>
      <c r="E60" s="4" t="s">
        <v>119</v>
      </c>
      <c r="F60" s="4" t="s">
        <v>209</v>
      </c>
      <c r="G60" s="4" t="s">
        <v>85</v>
      </c>
      <c r="H60" s="7">
        <v>6</v>
      </c>
      <c r="I60" s="40">
        <v>0.1</v>
      </c>
      <c r="J60" s="7">
        <v>35100</v>
      </c>
      <c r="K60" s="33">
        <v>25200</v>
      </c>
      <c r="L60" s="7">
        <v>9900</v>
      </c>
      <c r="M60" s="4" t="s">
        <v>102</v>
      </c>
      <c r="N60" s="18" t="s">
        <v>35</v>
      </c>
      <c r="O60" t="s">
        <v>566</v>
      </c>
      <c r="P60" t="s">
        <v>478</v>
      </c>
      <c r="Q60" t="s">
        <v>425</v>
      </c>
      <c r="R60" t="s">
        <v>394</v>
      </c>
      <c r="S60" t="s">
        <v>395</v>
      </c>
      <c r="T60" t="s">
        <v>474</v>
      </c>
      <c r="U60" t="str">
        <f>INDEX(Product[#All],MATCH(Sales[[#This Row],[Product_ID]],Product[[#All],[Product_ID]],0),MATCH(Sales[[#Headers],[Category]],Product[#Headers],0))</f>
        <v>Office</v>
      </c>
      <c r="V60" s="76">
        <f>INDEX(Product[#All],MATCH(Sales[[#This Row],[Product_ID]],Product[[#All],[Product_ID]],0),MATCH(Sales[[#Headers],[Unit_Cost]],Product[#Headers],0))</f>
        <v>4200</v>
      </c>
      <c r="W60" s="76">
        <f>INDEX(Product[#All],MATCH(Sales[[#This Row],[Product_ID]],Product[[#All],[Product_ID]],0),MATCH("List_Price",Product[#Headers],0))</f>
        <v>6500</v>
      </c>
      <c r="X60" s="78">
        <f>Sales[[#This Row],[Quantity]]*(Sales[[#This Row],[List_Price]]*(1-Sales[[#This Row],[Discount]]))</f>
        <v>35100</v>
      </c>
      <c r="Y60" s="150">
        <f>Sales[[#This Row],[Profit]]/Sales[[#This Row],[Cost_Amount]]</f>
        <v>0.39285714285714285</v>
      </c>
    </row>
    <row r="61" spans="1:25" x14ac:dyDescent="0.25">
      <c r="A61" s="17" t="s">
        <v>210</v>
      </c>
      <c r="B61" s="6">
        <v>45813</v>
      </c>
      <c r="C61" s="100">
        <f>MONTH(Sales[[#This Row],[Sale_Date]])</f>
        <v>6</v>
      </c>
      <c r="D61" s="100" t="str">
        <f t="shared" si="0"/>
        <v>June</v>
      </c>
      <c r="E61" s="4" t="s">
        <v>211</v>
      </c>
      <c r="F61" s="4" t="s">
        <v>209</v>
      </c>
      <c r="G61" s="4" t="s">
        <v>145</v>
      </c>
      <c r="H61" s="7">
        <v>13</v>
      </c>
      <c r="I61" s="40">
        <v>0.05</v>
      </c>
      <c r="J61" s="7">
        <v>30875</v>
      </c>
      <c r="K61" s="33">
        <v>20800</v>
      </c>
      <c r="L61" s="7">
        <v>10075</v>
      </c>
      <c r="M61" s="4" t="s">
        <v>102</v>
      </c>
      <c r="N61" s="18" t="s">
        <v>35</v>
      </c>
      <c r="O61" t="s">
        <v>514</v>
      </c>
      <c r="P61" t="s">
        <v>485</v>
      </c>
      <c r="Q61" t="s">
        <v>425</v>
      </c>
      <c r="R61" t="s">
        <v>394</v>
      </c>
      <c r="S61" t="s">
        <v>395</v>
      </c>
      <c r="T61" t="s">
        <v>469</v>
      </c>
      <c r="U61" t="str">
        <f>INDEX(Product[#All],MATCH(Sales[[#This Row],[Product_ID]],Product[[#All],[Product_ID]],0),MATCH(Sales[[#Headers],[Category]],Product[#Headers],0))</f>
        <v>Accessories</v>
      </c>
      <c r="V61" s="76">
        <f>INDEX(Product[#All],MATCH(Sales[[#This Row],[Product_ID]],Product[[#All],[Product_ID]],0),MATCH(Sales[[#Headers],[Unit_Cost]],Product[#Headers],0))</f>
        <v>1600</v>
      </c>
      <c r="W61" s="76">
        <f>INDEX(Product[#All],MATCH(Sales[[#This Row],[Product_ID]],Product[[#All],[Product_ID]],0),MATCH("List_Price",Product[#Headers],0))</f>
        <v>2500</v>
      </c>
      <c r="X61" s="78">
        <f>Sales[[#This Row],[Quantity]]*(Sales[[#This Row],[List_Price]]*(1-Sales[[#This Row],[Discount]]))</f>
        <v>30875</v>
      </c>
      <c r="Y61" s="150">
        <f>Sales[[#This Row],[Profit]]/Sales[[#This Row],[Cost_Amount]]</f>
        <v>0.484375</v>
      </c>
    </row>
    <row r="62" spans="1:25" x14ac:dyDescent="0.25">
      <c r="A62" s="17" t="s">
        <v>212</v>
      </c>
      <c r="B62" s="6">
        <v>45692</v>
      </c>
      <c r="C62" s="100">
        <f>MONTH(Sales[[#This Row],[Sale_Date]])</f>
        <v>2</v>
      </c>
      <c r="D62" s="100" t="str">
        <f t="shared" si="0"/>
        <v>February</v>
      </c>
      <c r="E62" s="4" t="s">
        <v>213</v>
      </c>
      <c r="F62" s="4" t="s">
        <v>101</v>
      </c>
      <c r="G62" s="4" t="s">
        <v>33</v>
      </c>
      <c r="H62" s="7">
        <v>15</v>
      </c>
      <c r="I62" s="40">
        <v>0.12</v>
      </c>
      <c r="J62" s="7">
        <v>47520</v>
      </c>
      <c r="K62" s="33">
        <v>36000</v>
      </c>
      <c r="L62" s="7">
        <v>11520</v>
      </c>
      <c r="M62" s="4" t="s">
        <v>102</v>
      </c>
      <c r="N62" s="18" t="s">
        <v>122</v>
      </c>
      <c r="O62" t="s">
        <v>554</v>
      </c>
      <c r="P62" t="s">
        <v>547</v>
      </c>
      <c r="Q62" t="s">
        <v>423</v>
      </c>
      <c r="R62" t="s">
        <v>394</v>
      </c>
      <c r="S62" t="s">
        <v>402</v>
      </c>
      <c r="T62" t="s">
        <v>475</v>
      </c>
      <c r="U62" t="str">
        <f>INDEX(Product[#All],MATCH(Sales[[#This Row],[Product_ID]],Product[[#All],[Product_ID]],0),MATCH(Sales[[#Headers],[Category]],Product[#Headers],0))</f>
        <v>Accessories</v>
      </c>
      <c r="V62" s="76">
        <f>INDEX(Product[#All],MATCH(Sales[[#This Row],[Product_ID]],Product[[#All],[Product_ID]],0),MATCH(Sales[[#Headers],[Unit_Cost]],Product[#Headers],0))</f>
        <v>2400</v>
      </c>
      <c r="W62" s="76">
        <f>INDEX(Product[#All],MATCH(Sales[[#This Row],[Product_ID]],Product[[#All],[Product_ID]],0),MATCH("List_Price",Product[#Headers],0))</f>
        <v>3600</v>
      </c>
      <c r="X62" s="78">
        <f>Sales[[#This Row],[Quantity]]*(Sales[[#This Row],[List_Price]]*(1-Sales[[#This Row],[Discount]]))</f>
        <v>47520</v>
      </c>
      <c r="Y62" s="150">
        <f>Sales[[#This Row],[Profit]]/Sales[[#This Row],[Cost_Amount]]</f>
        <v>0.32</v>
      </c>
    </row>
    <row r="63" spans="1:25" x14ac:dyDescent="0.25">
      <c r="A63" s="17" t="s">
        <v>214</v>
      </c>
      <c r="B63" s="6">
        <v>45738</v>
      </c>
      <c r="C63" s="100">
        <f>MONTH(Sales[[#This Row],[Sale_Date]])</f>
        <v>3</v>
      </c>
      <c r="D63" s="100" t="str">
        <f t="shared" si="0"/>
        <v>March</v>
      </c>
      <c r="E63" s="4" t="s">
        <v>130</v>
      </c>
      <c r="F63" s="4" t="s">
        <v>182</v>
      </c>
      <c r="G63" s="4" t="s">
        <v>162</v>
      </c>
      <c r="H63" s="7">
        <v>18</v>
      </c>
      <c r="I63" s="40">
        <f>((Sales[[#This Row],[Quantity]]*'02_Products'!E15)-J63)/(Sales[[#This Row],[Quantity]]*Products!F15)</f>
        <v>0.12</v>
      </c>
      <c r="J63" s="7">
        <v>253440</v>
      </c>
      <c r="K63" s="33">
        <v>207000</v>
      </c>
      <c r="L63" s="7">
        <v>46440</v>
      </c>
      <c r="M63" s="4" t="s">
        <v>102</v>
      </c>
      <c r="N63" s="18" t="s">
        <v>35</v>
      </c>
      <c r="O63" t="s">
        <v>539</v>
      </c>
      <c r="P63" t="s">
        <v>535</v>
      </c>
      <c r="Q63" t="s">
        <v>404</v>
      </c>
      <c r="R63" t="s">
        <v>398</v>
      </c>
      <c r="S63" t="s">
        <v>395</v>
      </c>
      <c r="T63" t="s">
        <v>471</v>
      </c>
      <c r="U63" t="str">
        <f>INDEX(Product[#All],MATCH(Sales[[#This Row],[Product_ID]],Product[[#All],[Product_ID]],0),MATCH(Sales[[#Headers],[Category]],Product[#Headers],0))</f>
        <v>Office</v>
      </c>
      <c r="V63" s="76">
        <f>INDEX(Product[#All],MATCH(Sales[[#This Row],[Product_ID]],Product[[#All],[Product_ID]],0),MATCH(Sales[[#Headers],[Unit_Cost]],Product[#Headers],0))</f>
        <v>11500</v>
      </c>
      <c r="W63" s="76">
        <f>INDEX(Product[#All],MATCH(Sales[[#This Row],[Product_ID]],Product[[#All],[Product_ID]],0),MATCH("List_Price",Product[#Headers],0))</f>
        <v>16000</v>
      </c>
      <c r="X63" s="78">
        <f>Sales[[#This Row],[Quantity]]*(Sales[[#This Row],[List_Price]]*(1-Sales[[#This Row],[Discount]]))</f>
        <v>253440</v>
      </c>
      <c r="Y63" s="150">
        <f>Sales[[#This Row],[Profit]]/Sales[[#This Row],[Cost_Amount]]</f>
        <v>0.22434782608695653</v>
      </c>
    </row>
    <row r="64" spans="1:25" x14ac:dyDescent="0.25">
      <c r="A64" s="17" t="s">
        <v>215</v>
      </c>
      <c r="B64" s="6">
        <v>45746</v>
      </c>
      <c r="C64" s="100">
        <f>MONTH(Sales[[#This Row],[Sale_Date]])</f>
        <v>3</v>
      </c>
      <c r="D64" s="100" t="str">
        <f t="shared" si="0"/>
        <v>March</v>
      </c>
      <c r="E64" s="4" t="s">
        <v>216</v>
      </c>
      <c r="F64" s="4" t="s">
        <v>42</v>
      </c>
      <c r="G64" s="4" t="s">
        <v>49</v>
      </c>
      <c r="H64" s="7">
        <v>10</v>
      </c>
      <c r="I64" s="40">
        <v>0.1</v>
      </c>
      <c r="J64" s="7">
        <v>43200</v>
      </c>
      <c r="K64" s="33">
        <v>32000</v>
      </c>
      <c r="L64" s="7">
        <v>11200</v>
      </c>
      <c r="M64" s="4" t="s">
        <v>44</v>
      </c>
      <c r="N64" s="18" t="s">
        <v>35</v>
      </c>
      <c r="O64" t="s">
        <v>589</v>
      </c>
      <c r="P64" t="s">
        <v>590</v>
      </c>
      <c r="Q64" t="s">
        <v>440</v>
      </c>
      <c r="R64" t="s">
        <v>394</v>
      </c>
      <c r="S64" t="s">
        <v>395</v>
      </c>
      <c r="T64" t="s">
        <v>472</v>
      </c>
      <c r="U64" t="str">
        <f>INDEX(Product[#All],MATCH(Sales[[#This Row],[Product_ID]],Product[[#All],[Product_ID]],0),MATCH(Sales[[#Headers],[Category]],Product[#Headers],0))</f>
        <v>IT Equipment</v>
      </c>
      <c r="V64" s="76">
        <f>INDEX(Product[#All],MATCH(Sales[[#This Row],[Product_ID]],Product[[#All],[Product_ID]],0),MATCH(Sales[[#Headers],[Unit_Cost]],Product[#Headers],0))</f>
        <v>3200</v>
      </c>
      <c r="W64" s="76">
        <f>INDEX(Product[#All],MATCH(Sales[[#This Row],[Product_ID]],Product[[#All],[Product_ID]],0),MATCH("List_Price",Product[#Headers],0))</f>
        <v>4800</v>
      </c>
      <c r="X64" s="78">
        <f>Sales[[#This Row],[Quantity]]*(Sales[[#This Row],[List_Price]]*(1-Sales[[#This Row],[Discount]]))</f>
        <v>43200</v>
      </c>
      <c r="Y64" s="150">
        <f>Sales[[#This Row],[Profit]]/Sales[[#This Row],[Cost_Amount]]</f>
        <v>0.35</v>
      </c>
    </row>
    <row r="65" spans="1:25" x14ac:dyDescent="0.25">
      <c r="A65" s="17" t="s">
        <v>217</v>
      </c>
      <c r="B65" s="6">
        <v>45687</v>
      </c>
      <c r="C65" s="100">
        <f>MONTH(Sales[[#This Row],[Sale_Date]])</f>
        <v>1</v>
      </c>
      <c r="D65" s="100" t="str">
        <f t="shared" si="0"/>
        <v>January</v>
      </c>
      <c r="E65" s="4" t="s">
        <v>218</v>
      </c>
      <c r="F65" s="4" t="s">
        <v>219</v>
      </c>
      <c r="G65" s="4" t="s">
        <v>152</v>
      </c>
      <c r="H65" s="7">
        <v>11</v>
      </c>
      <c r="I65" s="40">
        <v>0.1</v>
      </c>
      <c r="J65" s="7">
        <v>27720</v>
      </c>
      <c r="K65" s="33">
        <v>19800</v>
      </c>
      <c r="L65" s="7">
        <v>7920</v>
      </c>
      <c r="M65" s="4" t="s">
        <v>63</v>
      </c>
      <c r="N65" s="18" t="s">
        <v>45</v>
      </c>
      <c r="O65" t="s">
        <v>496</v>
      </c>
      <c r="P65" t="s">
        <v>485</v>
      </c>
      <c r="Q65" t="s">
        <v>416</v>
      </c>
      <c r="R65" t="s">
        <v>409</v>
      </c>
      <c r="S65" t="s">
        <v>399</v>
      </c>
      <c r="T65" t="s">
        <v>459</v>
      </c>
      <c r="U65" t="str">
        <f>INDEX(Product[#All],MATCH(Sales[[#This Row],[Product_ID]],Product[[#All],[Product_ID]],0),MATCH(Sales[[#Headers],[Category]],Product[#Headers],0))</f>
        <v>Accessories</v>
      </c>
      <c r="V65" s="76">
        <f>INDEX(Product[#All],MATCH(Sales[[#This Row],[Product_ID]],Product[[#All],[Product_ID]],0),MATCH(Sales[[#Headers],[Unit_Cost]],Product[#Headers],0))</f>
        <v>1800</v>
      </c>
      <c r="W65" s="76">
        <f>INDEX(Product[#All],MATCH(Sales[[#This Row],[Product_ID]],Product[[#All],[Product_ID]],0),MATCH("List_Price",Product[#Headers],0))</f>
        <v>2800</v>
      </c>
      <c r="X65" s="78">
        <f>Sales[[#This Row],[Quantity]]*(Sales[[#This Row],[List_Price]]*(1-Sales[[#This Row],[Discount]]))</f>
        <v>27720</v>
      </c>
      <c r="Y65" s="150">
        <f>Sales[[#This Row],[Profit]]/Sales[[#This Row],[Cost_Amount]]</f>
        <v>0.4</v>
      </c>
    </row>
    <row r="66" spans="1:25" x14ac:dyDescent="0.25">
      <c r="A66" s="17" t="s">
        <v>220</v>
      </c>
      <c r="B66" s="6">
        <v>45766</v>
      </c>
      <c r="C66" s="100">
        <f>MONTH(Sales[[#This Row],[Sale_Date]])</f>
        <v>4</v>
      </c>
      <c r="D66" s="100" t="str">
        <f t="shared" si="0"/>
        <v>April</v>
      </c>
      <c r="E66" s="4" t="s">
        <v>221</v>
      </c>
      <c r="F66" s="4" t="s">
        <v>52</v>
      </c>
      <c r="G66" s="4" t="s">
        <v>162</v>
      </c>
      <c r="H66" s="7">
        <v>18</v>
      </c>
      <c r="I66" s="40">
        <v>0.03</v>
      </c>
      <c r="J66" s="7">
        <v>279360</v>
      </c>
      <c r="K66" s="33">
        <v>207000</v>
      </c>
      <c r="L66" s="7">
        <v>72360</v>
      </c>
      <c r="M66" s="4" t="s">
        <v>39</v>
      </c>
      <c r="N66" s="18" t="s">
        <v>35</v>
      </c>
      <c r="O66" t="s">
        <v>503</v>
      </c>
      <c r="P66" t="s">
        <v>485</v>
      </c>
      <c r="Q66" t="s">
        <v>429</v>
      </c>
      <c r="R66" t="s">
        <v>394</v>
      </c>
      <c r="S66" t="s">
        <v>395</v>
      </c>
      <c r="T66" t="s">
        <v>471</v>
      </c>
      <c r="U66" t="str">
        <f>INDEX(Product[#All],MATCH(Sales[[#This Row],[Product_ID]],Product[[#All],[Product_ID]],0),MATCH(Sales[[#Headers],[Category]],Product[#Headers],0))</f>
        <v>Office</v>
      </c>
      <c r="V66" s="76">
        <f>INDEX(Product[#All],MATCH(Sales[[#This Row],[Product_ID]],Product[[#All],[Product_ID]],0),MATCH(Sales[[#Headers],[Unit_Cost]],Product[#Headers],0))</f>
        <v>11500</v>
      </c>
      <c r="W66" s="76">
        <f>INDEX(Product[#All],MATCH(Sales[[#This Row],[Product_ID]],Product[[#All],[Product_ID]],0),MATCH("List_Price",Product[#Headers],0))</f>
        <v>16000</v>
      </c>
      <c r="X66" s="78">
        <f>Sales[[#This Row],[Quantity]]*(Sales[[#This Row],[List_Price]]*(1-Sales[[#This Row],[Discount]]))</f>
        <v>279360</v>
      </c>
      <c r="Y66" s="150">
        <f>Sales[[#This Row],[Profit]]/Sales[[#This Row],[Cost_Amount]]</f>
        <v>0.34956521739130436</v>
      </c>
    </row>
    <row r="67" spans="1:25" x14ac:dyDescent="0.25">
      <c r="A67" s="17" t="s">
        <v>222</v>
      </c>
      <c r="B67" s="6">
        <v>45726</v>
      </c>
      <c r="C67" s="100">
        <f>MONTH(Sales[[#This Row],[Sale_Date]])</f>
        <v>3</v>
      </c>
      <c r="D67" s="100" t="str">
        <f t="shared" ref="D67:D130" si="1">CHOOSE(C67,"January","February","March","April","May","June","July","August","September","October","November","December")</f>
        <v>March</v>
      </c>
      <c r="E67" s="4" t="s">
        <v>223</v>
      </c>
      <c r="F67" s="4" t="s">
        <v>182</v>
      </c>
      <c r="G67" s="4" t="s">
        <v>81</v>
      </c>
      <c r="H67" s="7">
        <v>2</v>
      </c>
      <c r="I67" s="40">
        <v>0</v>
      </c>
      <c r="J67" s="7">
        <v>18000</v>
      </c>
      <c r="K67" s="33">
        <v>13000</v>
      </c>
      <c r="L67" s="7">
        <v>5000</v>
      </c>
      <c r="M67" s="4" t="s">
        <v>102</v>
      </c>
      <c r="N67" s="18" t="s">
        <v>35</v>
      </c>
      <c r="O67" t="s">
        <v>527</v>
      </c>
      <c r="P67" t="s">
        <v>520</v>
      </c>
      <c r="Q67" t="s">
        <v>404</v>
      </c>
      <c r="R67" t="s">
        <v>398</v>
      </c>
      <c r="S67" t="s">
        <v>395</v>
      </c>
      <c r="T67" t="s">
        <v>470</v>
      </c>
      <c r="U67" t="str">
        <f>INDEX(Product[#All],MATCH(Sales[[#This Row],[Product_ID]],Product[[#All],[Product_ID]],0),MATCH(Sales[[#Headers],[Category]],Product[#Headers],0))</f>
        <v>IT Equipment</v>
      </c>
      <c r="V67" s="76">
        <f>INDEX(Product[#All],MATCH(Sales[[#This Row],[Product_ID]],Product[[#All],[Product_ID]],0),MATCH(Sales[[#Headers],[Unit_Cost]],Product[#Headers],0))</f>
        <v>6500</v>
      </c>
      <c r="W67" s="76">
        <f>INDEX(Product[#All],MATCH(Sales[[#This Row],[Product_ID]],Product[[#All],[Product_ID]],0),MATCH("List_Price",Product[#Headers],0))</f>
        <v>9000</v>
      </c>
      <c r="X67" s="78">
        <f>Sales[[#This Row],[Quantity]]*(Sales[[#This Row],[List_Price]]*(1-Sales[[#This Row],[Discount]]))</f>
        <v>18000</v>
      </c>
      <c r="Y67" s="150">
        <f>Sales[[#This Row],[Profit]]/Sales[[#This Row],[Cost_Amount]]</f>
        <v>0.38461538461538464</v>
      </c>
    </row>
    <row r="68" spans="1:25" x14ac:dyDescent="0.25">
      <c r="A68" s="17" t="s">
        <v>224</v>
      </c>
      <c r="B68" s="6">
        <v>45733</v>
      </c>
      <c r="C68" s="100">
        <f>MONTH(Sales[[#This Row],[Sale_Date]])</f>
        <v>3</v>
      </c>
      <c r="D68" s="100" t="str">
        <f t="shared" si="1"/>
        <v>March</v>
      </c>
      <c r="E68" s="4" t="s">
        <v>225</v>
      </c>
      <c r="F68" s="4" t="s">
        <v>148</v>
      </c>
      <c r="G68" s="4" t="s">
        <v>78</v>
      </c>
      <c r="H68" s="7">
        <v>2</v>
      </c>
      <c r="I68" s="40">
        <v>0.1</v>
      </c>
      <c r="J68" s="7">
        <v>16200</v>
      </c>
      <c r="K68" s="33">
        <v>13000</v>
      </c>
      <c r="L68" s="7">
        <v>3200</v>
      </c>
      <c r="M68" s="4" t="s">
        <v>102</v>
      </c>
      <c r="N68" s="18" t="s">
        <v>45</v>
      </c>
      <c r="O68" t="s">
        <v>487</v>
      </c>
      <c r="P68" t="s">
        <v>485</v>
      </c>
      <c r="Q68" t="s">
        <v>437</v>
      </c>
      <c r="R68" t="s">
        <v>409</v>
      </c>
      <c r="S68" t="s">
        <v>402</v>
      </c>
      <c r="T68" t="s">
        <v>465</v>
      </c>
      <c r="U68" t="str">
        <f>INDEX(Product[#All],MATCH(Sales[[#This Row],[Product_ID]],Product[[#All],[Product_ID]],0),MATCH(Sales[[#Headers],[Category]],Product[#Headers],0))</f>
        <v>Office</v>
      </c>
      <c r="V68" s="76">
        <f>INDEX(Product[#All],MATCH(Sales[[#This Row],[Product_ID]],Product[[#All],[Product_ID]],0),MATCH(Sales[[#Headers],[Unit_Cost]],Product[#Headers],0))</f>
        <v>6500</v>
      </c>
      <c r="W68" s="76">
        <f>INDEX(Product[#All],MATCH(Sales[[#This Row],[Product_ID]],Product[[#All],[Product_ID]],0),MATCH("List_Price",Product[#Headers],0))</f>
        <v>9000</v>
      </c>
      <c r="X68" s="78">
        <f>Sales[[#This Row],[Quantity]]*(Sales[[#This Row],[List_Price]]*(1-Sales[[#This Row],[Discount]]))</f>
        <v>16200</v>
      </c>
      <c r="Y68" s="150">
        <f>Sales[[#This Row],[Profit]]/Sales[[#This Row],[Cost_Amount]]</f>
        <v>0.24615384615384617</v>
      </c>
    </row>
    <row r="69" spans="1:25" x14ac:dyDescent="0.25">
      <c r="A69" s="17" t="s">
        <v>226</v>
      </c>
      <c r="B69" s="6">
        <v>45715</v>
      </c>
      <c r="C69" s="100">
        <f>MONTH(Sales[[#This Row],[Sale_Date]])</f>
        <v>2</v>
      </c>
      <c r="D69" s="100" t="str">
        <f t="shared" si="1"/>
        <v>February</v>
      </c>
      <c r="E69" s="4" t="s">
        <v>127</v>
      </c>
      <c r="F69" s="4" t="s">
        <v>227</v>
      </c>
      <c r="G69" s="4" t="s">
        <v>85</v>
      </c>
      <c r="H69" s="7">
        <v>18</v>
      </c>
      <c r="I69" s="40">
        <v>0.12</v>
      </c>
      <c r="J69" s="7">
        <v>102960</v>
      </c>
      <c r="K69" s="33">
        <v>75600</v>
      </c>
      <c r="L69" s="7">
        <v>27360</v>
      </c>
      <c r="M69" s="4" t="s">
        <v>44</v>
      </c>
      <c r="N69" s="18" t="s">
        <v>35</v>
      </c>
      <c r="O69" t="s">
        <v>542</v>
      </c>
      <c r="P69" t="s">
        <v>535</v>
      </c>
      <c r="Q69" t="s">
        <v>401</v>
      </c>
      <c r="R69" t="s">
        <v>398</v>
      </c>
      <c r="S69" t="s">
        <v>402</v>
      </c>
      <c r="T69" t="s">
        <v>474</v>
      </c>
      <c r="U69" t="str">
        <f>INDEX(Product[#All],MATCH(Sales[[#This Row],[Product_ID]],Product[[#All],[Product_ID]],0),MATCH(Sales[[#Headers],[Category]],Product[#Headers],0))</f>
        <v>Office</v>
      </c>
      <c r="V69" s="76">
        <f>INDEX(Product[#All],MATCH(Sales[[#This Row],[Product_ID]],Product[[#All],[Product_ID]],0),MATCH(Sales[[#Headers],[Unit_Cost]],Product[#Headers],0))</f>
        <v>4200</v>
      </c>
      <c r="W69" s="76">
        <f>INDEX(Product[#All],MATCH(Sales[[#This Row],[Product_ID]],Product[[#All],[Product_ID]],0),MATCH("List_Price",Product[#Headers],0))</f>
        <v>6500</v>
      </c>
      <c r="X69" s="78">
        <f>Sales[[#This Row],[Quantity]]*(Sales[[#This Row],[List_Price]]*(1-Sales[[#This Row],[Discount]]))</f>
        <v>102960</v>
      </c>
      <c r="Y69" s="150">
        <f>Sales[[#This Row],[Profit]]/Sales[[#This Row],[Cost_Amount]]</f>
        <v>0.3619047619047619</v>
      </c>
    </row>
    <row r="70" spans="1:25" x14ac:dyDescent="0.25">
      <c r="A70" s="17" t="s">
        <v>228</v>
      </c>
      <c r="B70" s="6">
        <v>45757</v>
      </c>
      <c r="C70" s="100">
        <f>MONTH(Sales[[#This Row],[Sale_Date]])</f>
        <v>4</v>
      </c>
      <c r="D70" s="100" t="str">
        <f t="shared" si="1"/>
        <v>April</v>
      </c>
      <c r="E70" s="4" t="s">
        <v>111</v>
      </c>
      <c r="F70" s="4" t="s">
        <v>158</v>
      </c>
      <c r="G70" s="4" t="s">
        <v>57</v>
      </c>
      <c r="H70" s="7">
        <v>2</v>
      </c>
      <c r="I70" s="40">
        <v>0.05</v>
      </c>
      <c r="J70" s="7">
        <v>9880</v>
      </c>
      <c r="K70" s="33">
        <v>7000</v>
      </c>
      <c r="L70" s="7">
        <v>2880</v>
      </c>
      <c r="M70" s="4" t="s">
        <v>44</v>
      </c>
      <c r="N70" s="18" t="s">
        <v>122</v>
      </c>
      <c r="O70" t="s">
        <v>509</v>
      </c>
      <c r="P70" t="s">
        <v>485</v>
      </c>
      <c r="Q70" t="s">
        <v>430</v>
      </c>
      <c r="R70" t="s">
        <v>394</v>
      </c>
      <c r="S70" t="s">
        <v>395</v>
      </c>
      <c r="T70" t="s">
        <v>477</v>
      </c>
      <c r="U70" t="str">
        <f>INDEX(Product[#All],MATCH(Sales[[#This Row],[Product_ID]],Product[[#All],[Product_ID]],0),MATCH(Sales[[#Headers],[Category]],Product[#Headers],0))</f>
        <v>Operations</v>
      </c>
      <c r="V70" s="76">
        <f>INDEX(Product[#All],MATCH(Sales[[#This Row],[Product_ID]],Product[[#All],[Product_ID]],0),MATCH(Sales[[#Headers],[Unit_Cost]],Product[#Headers],0))</f>
        <v>3500</v>
      </c>
      <c r="W70" s="76">
        <f>INDEX(Product[#All],MATCH(Sales[[#This Row],[Product_ID]],Product[[#All],[Product_ID]],0),MATCH("List_Price",Product[#Headers],0))</f>
        <v>5200</v>
      </c>
      <c r="X70" s="78">
        <f>Sales[[#This Row],[Quantity]]*(Sales[[#This Row],[List_Price]]*(1-Sales[[#This Row],[Discount]]))</f>
        <v>9880</v>
      </c>
      <c r="Y70" s="150">
        <f>Sales[[#This Row],[Profit]]/Sales[[#This Row],[Cost_Amount]]</f>
        <v>0.41142857142857142</v>
      </c>
    </row>
    <row r="71" spans="1:25" x14ac:dyDescent="0.25">
      <c r="A71" s="17" t="s">
        <v>229</v>
      </c>
      <c r="B71" s="6">
        <v>45816</v>
      </c>
      <c r="C71" s="100">
        <f>MONTH(Sales[[#This Row],[Sale_Date]])</f>
        <v>6</v>
      </c>
      <c r="D71" s="100" t="str">
        <f t="shared" si="1"/>
        <v>June</v>
      </c>
      <c r="E71" s="4" t="s">
        <v>230</v>
      </c>
      <c r="F71" s="4" t="s">
        <v>231</v>
      </c>
      <c r="G71" s="4" t="s">
        <v>95</v>
      </c>
      <c r="H71" s="7">
        <v>9</v>
      </c>
      <c r="I71" s="40">
        <v>0</v>
      </c>
      <c r="J71" s="7">
        <v>468000</v>
      </c>
      <c r="K71" s="33">
        <v>378000</v>
      </c>
      <c r="L71" s="7">
        <v>90000</v>
      </c>
      <c r="M71" s="4" t="s">
        <v>44</v>
      </c>
      <c r="N71" s="18" t="s">
        <v>35</v>
      </c>
      <c r="O71" t="s">
        <v>559</v>
      </c>
      <c r="P71" t="s">
        <v>478</v>
      </c>
      <c r="Q71" t="s">
        <v>438</v>
      </c>
      <c r="R71" t="s">
        <v>394</v>
      </c>
      <c r="S71" t="s">
        <v>395</v>
      </c>
      <c r="T71" t="s">
        <v>455</v>
      </c>
      <c r="U71" t="str">
        <f>INDEX(Product[#All],MATCH(Sales[[#This Row],[Product_ID]],Product[[#All],[Product_ID]],0),MATCH(Sales[[#Headers],[Category]],Product[#Headers],0))</f>
        <v>IT Equipment</v>
      </c>
      <c r="V71" s="76">
        <f>INDEX(Product[#All],MATCH(Sales[[#This Row],[Product_ID]],Product[[#All],[Product_ID]],0),MATCH(Sales[[#Headers],[Unit_Cost]],Product[#Headers],0))</f>
        <v>42000</v>
      </c>
      <c r="W71" s="76">
        <f>INDEX(Product[#All],MATCH(Sales[[#This Row],[Product_ID]],Product[[#All],[Product_ID]],0),MATCH("List_Price",Product[#Headers],0))</f>
        <v>52000</v>
      </c>
      <c r="X71" s="78">
        <f>Sales[[#This Row],[Quantity]]*(Sales[[#This Row],[List_Price]]*(1-Sales[[#This Row],[Discount]]))</f>
        <v>468000</v>
      </c>
      <c r="Y71" s="150">
        <f>Sales[[#This Row],[Profit]]/Sales[[#This Row],[Cost_Amount]]</f>
        <v>0.23809523809523808</v>
      </c>
    </row>
    <row r="72" spans="1:25" x14ac:dyDescent="0.25">
      <c r="A72" s="17" t="s">
        <v>232</v>
      </c>
      <c r="B72" s="6">
        <v>45808</v>
      </c>
      <c r="C72" s="100">
        <f>MONTH(Sales[[#This Row],[Sale_Date]])</f>
        <v>5</v>
      </c>
      <c r="D72" s="100" t="str">
        <f t="shared" si="1"/>
        <v>May</v>
      </c>
      <c r="E72" s="4" t="s">
        <v>233</v>
      </c>
      <c r="F72" s="4" t="s">
        <v>234</v>
      </c>
      <c r="G72" s="4" t="s">
        <v>33</v>
      </c>
      <c r="H72" s="7">
        <v>12</v>
      </c>
      <c r="I72" s="40">
        <v>0.12</v>
      </c>
      <c r="J72" s="7">
        <v>38016</v>
      </c>
      <c r="K72" s="33">
        <v>28800</v>
      </c>
      <c r="L72" s="7">
        <v>9216</v>
      </c>
      <c r="M72" s="4" t="s">
        <v>63</v>
      </c>
      <c r="N72" s="18" t="s">
        <v>35</v>
      </c>
      <c r="O72" t="s">
        <v>552</v>
      </c>
      <c r="P72" t="s">
        <v>547</v>
      </c>
      <c r="Q72" t="s">
        <v>444</v>
      </c>
      <c r="R72" t="s">
        <v>398</v>
      </c>
      <c r="S72" t="s">
        <v>402</v>
      </c>
      <c r="T72" t="s">
        <v>475</v>
      </c>
      <c r="U72" t="str">
        <f>INDEX(Product[#All],MATCH(Sales[[#This Row],[Product_ID]],Product[[#All],[Product_ID]],0),MATCH(Sales[[#Headers],[Category]],Product[#Headers],0))</f>
        <v>Accessories</v>
      </c>
      <c r="V72" s="76">
        <f>INDEX(Product[#All],MATCH(Sales[[#This Row],[Product_ID]],Product[[#All],[Product_ID]],0),MATCH(Sales[[#Headers],[Unit_Cost]],Product[#Headers],0))</f>
        <v>2400</v>
      </c>
      <c r="W72" s="76">
        <f>INDEX(Product[#All],MATCH(Sales[[#This Row],[Product_ID]],Product[[#All],[Product_ID]],0),MATCH("List_Price",Product[#Headers],0))</f>
        <v>3600</v>
      </c>
      <c r="X72" s="78">
        <f>Sales[[#This Row],[Quantity]]*(Sales[[#This Row],[List_Price]]*(1-Sales[[#This Row],[Discount]]))</f>
        <v>38016</v>
      </c>
      <c r="Y72" s="150">
        <f>Sales[[#This Row],[Profit]]/Sales[[#This Row],[Cost_Amount]]</f>
        <v>0.32</v>
      </c>
    </row>
    <row r="73" spans="1:25" x14ac:dyDescent="0.25">
      <c r="A73" s="17" t="s">
        <v>235</v>
      </c>
      <c r="B73" s="6">
        <v>45677</v>
      </c>
      <c r="C73" s="100">
        <f>MONTH(Sales[[#This Row],[Sale_Date]])</f>
        <v>1</v>
      </c>
      <c r="D73" s="100" t="str">
        <f t="shared" si="1"/>
        <v>January</v>
      </c>
      <c r="E73" s="4" t="s">
        <v>236</v>
      </c>
      <c r="F73" s="4" t="s">
        <v>84</v>
      </c>
      <c r="G73" s="4" t="s">
        <v>49</v>
      </c>
      <c r="H73" s="7">
        <v>6</v>
      </c>
      <c r="I73" s="40">
        <v>0.1</v>
      </c>
      <c r="J73" s="7">
        <v>25920</v>
      </c>
      <c r="K73" s="33">
        <v>19200</v>
      </c>
      <c r="L73" s="7">
        <v>6720</v>
      </c>
      <c r="M73" s="4" t="s">
        <v>44</v>
      </c>
      <c r="N73" s="18" t="s">
        <v>45</v>
      </c>
      <c r="O73" t="s">
        <v>597</v>
      </c>
      <c r="P73" t="s">
        <v>590</v>
      </c>
      <c r="Q73" t="s">
        <v>439</v>
      </c>
      <c r="R73" t="s">
        <v>409</v>
      </c>
      <c r="S73" t="s">
        <v>395</v>
      </c>
      <c r="T73" t="s">
        <v>472</v>
      </c>
      <c r="U73" t="str">
        <f>INDEX(Product[#All],MATCH(Sales[[#This Row],[Product_ID]],Product[[#All],[Product_ID]],0),MATCH(Sales[[#Headers],[Category]],Product[#Headers],0))</f>
        <v>IT Equipment</v>
      </c>
      <c r="V73" s="76">
        <f>INDEX(Product[#All],MATCH(Sales[[#This Row],[Product_ID]],Product[[#All],[Product_ID]],0),MATCH(Sales[[#Headers],[Unit_Cost]],Product[#Headers],0))</f>
        <v>3200</v>
      </c>
      <c r="W73" s="76">
        <f>INDEX(Product[#All],MATCH(Sales[[#This Row],[Product_ID]],Product[[#All],[Product_ID]],0),MATCH("List_Price",Product[#Headers],0))</f>
        <v>4800</v>
      </c>
      <c r="X73" s="78">
        <f>Sales[[#This Row],[Quantity]]*(Sales[[#This Row],[List_Price]]*(1-Sales[[#This Row],[Discount]]))</f>
        <v>25920</v>
      </c>
      <c r="Y73" s="150">
        <f>Sales[[#This Row],[Profit]]/Sales[[#This Row],[Cost_Amount]]</f>
        <v>0.35</v>
      </c>
    </row>
    <row r="74" spans="1:25" x14ac:dyDescent="0.25">
      <c r="A74" s="17" t="s">
        <v>237</v>
      </c>
      <c r="B74" s="6">
        <v>45725</v>
      </c>
      <c r="C74" s="100">
        <f>MONTH(Sales[[#This Row],[Sale_Date]])</f>
        <v>3</v>
      </c>
      <c r="D74" s="100" t="str">
        <f t="shared" si="1"/>
        <v>March</v>
      </c>
      <c r="E74" s="4" t="s">
        <v>191</v>
      </c>
      <c r="F74" s="4" t="s">
        <v>107</v>
      </c>
      <c r="G74" s="4" t="s">
        <v>152</v>
      </c>
      <c r="H74" s="7">
        <v>9</v>
      </c>
      <c r="I74" s="40">
        <v>0.08</v>
      </c>
      <c r="J74" s="7">
        <v>23184</v>
      </c>
      <c r="K74" s="33">
        <v>16200</v>
      </c>
      <c r="L74" s="7">
        <v>6984</v>
      </c>
      <c r="M74" s="4" t="s">
        <v>34</v>
      </c>
      <c r="N74" s="18" t="s">
        <v>35</v>
      </c>
      <c r="O74" t="s">
        <v>567</v>
      </c>
      <c r="P74" t="s">
        <v>478</v>
      </c>
      <c r="Q74" t="s">
        <v>415</v>
      </c>
      <c r="R74" t="s">
        <v>409</v>
      </c>
      <c r="S74" t="s">
        <v>399</v>
      </c>
      <c r="T74" t="s">
        <v>459</v>
      </c>
      <c r="U74" t="str">
        <f>INDEX(Product[#All],MATCH(Sales[[#This Row],[Product_ID]],Product[[#All],[Product_ID]],0),MATCH(Sales[[#Headers],[Category]],Product[#Headers],0))</f>
        <v>Accessories</v>
      </c>
      <c r="V74" s="76">
        <f>INDEX(Product[#All],MATCH(Sales[[#This Row],[Product_ID]],Product[[#All],[Product_ID]],0),MATCH(Sales[[#Headers],[Unit_Cost]],Product[#Headers],0))</f>
        <v>1800</v>
      </c>
      <c r="W74" s="76">
        <f>INDEX(Product[#All],MATCH(Sales[[#This Row],[Product_ID]],Product[[#All],[Product_ID]],0),MATCH("List_Price",Product[#Headers],0))</f>
        <v>2800</v>
      </c>
      <c r="X74" s="78">
        <f>Sales[[#This Row],[Quantity]]*(Sales[[#This Row],[List_Price]]*(1-Sales[[#This Row],[Discount]]))</f>
        <v>23184</v>
      </c>
      <c r="Y74" s="150">
        <f>Sales[[#This Row],[Profit]]/Sales[[#This Row],[Cost_Amount]]</f>
        <v>0.43111111111111111</v>
      </c>
    </row>
    <row r="75" spans="1:25" x14ac:dyDescent="0.25">
      <c r="A75" s="17" t="s">
        <v>238</v>
      </c>
      <c r="B75" s="6">
        <v>45697</v>
      </c>
      <c r="C75" s="100">
        <f>MONTH(Sales[[#This Row],[Sale_Date]])</f>
        <v>2</v>
      </c>
      <c r="D75" s="100" t="str">
        <f t="shared" si="1"/>
        <v>February</v>
      </c>
      <c r="E75" s="4" t="s">
        <v>239</v>
      </c>
      <c r="F75" s="4" t="s">
        <v>112</v>
      </c>
      <c r="G75" s="4" t="s">
        <v>49</v>
      </c>
      <c r="H75" s="7">
        <v>5</v>
      </c>
      <c r="I75" s="40">
        <v>0</v>
      </c>
      <c r="J75" s="7">
        <v>24000</v>
      </c>
      <c r="K75" s="33">
        <v>16000</v>
      </c>
      <c r="L75" s="7">
        <v>8000</v>
      </c>
      <c r="M75" s="4" t="s">
        <v>102</v>
      </c>
      <c r="N75" s="18" t="s">
        <v>122</v>
      </c>
      <c r="O75" t="s">
        <v>568</v>
      </c>
      <c r="P75" t="s">
        <v>478</v>
      </c>
      <c r="Q75" t="s">
        <v>400</v>
      </c>
      <c r="R75" t="s">
        <v>398</v>
      </c>
      <c r="S75" t="s">
        <v>399</v>
      </c>
      <c r="T75" t="s">
        <v>472</v>
      </c>
      <c r="U75" t="str">
        <f>INDEX(Product[#All],MATCH(Sales[[#This Row],[Product_ID]],Product[[#All],[Product_ID]],0),MATCH(Sales[[#Headers],[Category]],Product[#Headers],0))</f>
        <v>IT Equipment</v>
      </c>
      <c r="V75" s="76">
        <f>INDEX(Product[#All],MATCH(Sales[[#This Row],[Product_ID]],Product[[#All],[Product_ID]],0),MATCH(Sales[[#Headers],[Unit_Cost]],Product[#Headers],0))</f>
        <v>3200</v>
      </c>
      <c r="W75" s="76">
        <f>INDEX(Product[#All],MATCH(Sales[[#This Row],[Product_ID]],Product[[#All],[Product_ID]],0),MATCH("List_Price",Product[#Headers],0))</f>
        <v>4800</v>
      </c>
      <c r="X75" s="78">
        <f>Sales[[#This Row],[Quantity]]*(Sales[[#This Row],[List_Price]]*(1-Sales[[#This Row],[Discount]]))</f>
        <v>24000</v>
      </c>
      <c r="Y75" s="150">
        <f>Sales[[#This Row],[Profit]]/Sales[[#This Row],[Cost_Amount]]</f>
        <v>0.5</v>
      </c>
    </row>
    <row r="76" spans="1:25" x14ac:dyDescent="0.25">
      <c r="A76" s="17" t="s">
        <v>240</v>
      </c>
      <c r="B76" s="6">
        <v>45804</v>
      </c>
      <c r="C76" s="100">
        <f>MONTH(Sales[[#This Row],[Sale_Date]])</f>
        <v>5</v>
      </c>
      <c r="D76" s="100" t="str">
        <f t="shared" si="1"/>
        <v>May</v>
      </c>
      <c r="E76" s="4" t="s">
        <v>225</v>
      </c>
      <c r="F76" s="4" t="s">
        <v>241</v>
      </c>
      <c r="G76" s="4" t="s">
        <v>71</v>
      </c>
      <c r="H76" s="7">
        <v>10</v>
      </c>
      <c r="I76" s="40">
        <v>0.05</v>
      </c>
      <c r="J76" s="7">
        <v>68400</v>
      </c>
      <c r="K76" s="33">
        <v>48000</v>
      </c>
      <c r="L76" s="7">
        <v>20400</v>
      </c>
      <c r="M76" s="4" t="s">
        <v>63</v>
      </c>
      <c r="N76" s="18" t="s">
        <v>122</v>
      </c>
      <c r="O76" t="s">
        <v>487</v>
      </c>
      <c r="P76" t="s">
        <v>485</v>
      </c>
      <c r="Q76" t="s">
        <v>432</v>
      </c>
      <c r="R76" t="s">
        <v>398</v>
      </c>
      <c r="S76" t="s">
        <v>399</v>
      </c>
      <c r="T76" t="s">
        <v>462</v>
      </c>
      <c r="U76" t="str">
        <f>INDEX(Product[#All],MATCH(Sales[[#This Row],[Product_ID]],Product[[#All],[Product_ID]],0),MATCH(Sales[[#Headers],[Category]],Product[#Headers],0))</f>
        <v>Office</v>
      </c>
      <c r="V76" s="76">
        <f>INDEX(Product[#All],MATCH(Sales[[#This Row],[Product_ID]],Product[[#All],[Product_ID]],0),MATCH(Sales[[#Headers],[Unit_Cost]],Product[#Headers],0))</f>
        <v>4800</v>
      </c>
      <c r="W76" s="76">
        <f>INDEX(Product[#All],MATCH(Sales[[#This Row],[Product_ID]],Product[[#All],[Product_ID]],0),MATCH("List_Price",Product[#Headers],0))</f>
        <v>7200</v>
      </c>
      <c r="X76" s="78">
        <f>Sales[[#This Row],[Quantity]]*(Sales[[#This Row],[List_Price]]*(1-Sales[[#This Row],[Discount]]))</f>
        <v>68400</v>
      </c>
      <c r="Y76" s="150">
        <f>Sales[[#This Row],[Profit]]/Sales[[#This Row],[Cost_Amount]]</f>
        <v>0.42499999999999999</v>
      </c>
    </row>
    <row r="77" spans="1:25" x14ac:dyDescent="0.25">
      <c r="A77" s="17" t="s">
        <v>242</v>
      </c>
      <c r="B77" s="6">
        <v>45675</v>
      </c>
      <c r="C77" s="100">
        <f>MONTH(Sales[[#This Row],[Sale_Date]])</f>
        <v>1</v>
      </c>
      <c r="D77" s="100" t="str">
        <f t="shared" si="1"/>
        <v>January</v>
      </c>
      <c r="E77" s="4" t="s">
        <v>243</v>
      </c>
      <c r="F77" s="4" t="s">
        <v>158</v>
      </c>
      <c r="G77" s="4" t="s">
        <v>71</v>
      </c>
      <c r="H77" s="7">
        <v>6</v>
      </c>
      <c r="I77" s="40">
        <v>0.08</v>
      </c>
      <c r="J77" s="7">
        <v>39744</v>
      </c>
      <c r="K77" s="33">
        <v>28800</v>
      </c>
      <c r="L77" s="7">
        <v>10944</v>
      </c>
      <c r="M77" s="4" t="s">
        <v>44</v>
      </c>
      <c r="N77" s="18" t="s">
        <v>45</v>
      </c>
      <c r="O77" t="s">
        <v>508</v>
      </c>
      <c r="P77" t="s">
        <v>485</v>
      </c>
      <c r="Q77" t="s">
        <v>430</v>
      </c>
      <c r="R77" t="s">
        <v>394</v>
      </c>
      <c r="S77" t="s">
        <v>395</v>
      </c>
      <c r="T77" t="s">
        <v>462</v>
      </c>
      <c r="U77" t="str">
        <f>INDEX(Product[#All],MATCH(Sales[[#This Row],[Product_ID]],Product[[#All],[Product_ID]],0),MATCH(Sales[[#Headers],[Category]],Product[#Headers],0))</f>
        <v>Office</v>
      </c>
      <c r="V77" s="76">
        <f>INDEX(Product[#All],MATCH(Sales[[#This Row],[Product_ID]],Product[[#All],[Product_ID]],0),MATCH(Sales[[#Headers],[Unit_Cost]],Product[#Headers],0))</f>
        <v>4800</v>
      </c>
      <c r="W77" s="76">
        <f>INDEX(Product[#All],MATCH(Sales[[#This Row],[Product_ID]],Product[[#All],[Product_ID]],0),MATCH("List_Price",Product[#Headers],0))</f>
        <v>7200</v>
      </c>
      <c r="X77" s="78">
        <f>Sales[[#This Row],[Quantity]]*(Sales[[#This Row],[List_Price]]*(1-Sales[[#This Row],[Discount]]))</f>
        <v>39744</v>
      </c>
      <c r="Y77" s="150">
        <f>Sales[[#This Row],[Profit]]/Sales[[#This Row],[Cost_Amount]]</f>
        <v>0.38</v>
      </c>
    </row>
    <row r="78" spans="1:25" x14ac:dyDescent="0.25">
      <c r="A78" s="17" t="s">
        <v>244</v>
      </c>
      <c r="B78" s="6">
        <v>45827</v>
      </c>
      <c r="C78" s="100">
        <f>MONTH(Sales[[#This Row],[Sale_Date]])</f>
        <v>6</v>
      </c>
      <c r="D78" s="100" t="str">
        <f t="shared" si="1"/>
        <v>June</v>
      </c>
      <c r="E78" s="4" t="s">
        <v>170</v>
      </c>
      <c r="F78" s="4" t="s">
        <v>151</v>
      </c>
      <c r="G78" s="4" t="s">
        <v>116</v>
      </c>
      <c r="H78" s="7">
        <v>8</v>
      </c>
      <c r="I78" s="40">
        <v>0</v>
      </c>
      <c r="J78" s="7">
        <v>96000</v>
      </c>
      <c r="K78" s="33">
        <v>68000</v>
      </c>
      <c r="L78" s="7">
        <v>28000</v>
      </c>
      <c r="M78" s="4" t="s">
        <v>63</v>
      </c>
      <c r="N78" s="18" t="s">
        <v>122</v>
      </c>
      <c r="O78" t="s">
        <v>558</v>
      </c>
      <c r="P78" t="s">
        <v>478</v>
      </c>
      <c r="Q78" t="s">
        <v>408</v>
      </c>
      <c r="R78" t="s">
        <v>409</v>
      </c>
      <c r="S78" t="s">
        <v>395</v>
      </c>
      <c r="T78" t="s">
        <v>458</v>
      </c>
      <c r="U78" t="str">
        <f>INDEX(Product[#All],MATCH(Sales[[#This Row],[Product_ID]],Product[[#All],[Product_ID]],0),MATCH(Sales[[#Headers],[Category]],Product[#Headers],0))</f>
        <v>IT Equipment</v>
      </c>
      <c r="V78" s="76">
        <f>INDEX(Product[#All],MATCH(Sales[[#This Row],[Product_ID]],Product[[#All],[Product_ID]],0),MATCH(Sales[[#Headers],[Unit_Cost]],Product[#Headers],0))</f>
        <v>8500</v>
      </c>
      <c r="W78" s="76">
        <f>INDEX(Product[#All],MATCH(Sales[[#This Row],[Product_ID]],Product[[#All],[Product_ID]],0),MATCH("List_Price",Product[#Headers],0))</f>
        <v>12000</v>
      </c>
      <c r="X78" s="78">
        <f>Sales[[#This Row],[Quantity]]*(Sales[[#This Row],[List_Price]]*(1-Sales[[#This Row],[Discount]]))</f>
        <v>96000</v>
      </c>
      <c r="Y78" s="150">
        <f>Sales[[#This Row],[Profit]]/Sales[[#This Row],[Cost_Amount]]</f>
        <v>0.41176470588235292</v>
      </c>
    </row>
    <row r="79" spans="1:25" x14ac:dyDescent="0.25">
      <c r="A79" s="17" t="s">
        <v>245</v>
      </c>
      <c r="B79" s="6">
        <v>45824</v>
      </c>
      <c r="C79" s="100">
        <f>MONTH(Sales[[#This Row],[Sale_Date]])</f>
        <v>6</v>
      </c>
      <c r="D79" s="100" t="str">
        <f t="shared" si="1"/>
        <v>June</v>
      </c>
      <c r="E79" s="4" t="s">
        <v>168</v>
      </c>
      <c r="F79" s="4" t="s">
        <v>88</v>
      </c>
      <c r="G79" s="4" t="s">
        <v>67</v>
      </c>
      <c r="H79" s="7">
        <v>18</v>
      </c>
      <c r="I79" s="40">
        <v>0.12</v>
      </c>
      <c r="J79" s="7">
        <v>107712</v>
      </c>
      <c r="K79" s="33">
        <v>81000</v>
      </c>
      <c r="L79" s="7">
        <v>26712</v>
      </c>
      <c r="M79" s="4" t="s">
        <v>44</v>
      </c>
      <c r="N79" s="18" t="s">
        <v>122</v>
      </c>
      <c r="O79" t="s">
        <v>510</v>
      </c>
      <c r="P79" t="s">
        <v>485</v>
      </c>
      <c r="Q79" t="s">
        <v>442</v>
      </c>
      <c r="R79" t="s">
        <v>409</v>
      </c>
      <c r="S79" t="s">
        <v>402</v>
      </c>
      <c r="T79" t="s">
        <v>466</v>
      </c>
      <c r="U79" t="str">
        <f>INDEX(Product[#All],MATCH(Sales[[#This Row],[Product_ID]],Product[[#All],[Product_ID]],0),MATCH(Sales[[#Headers],[Category]],Product[#Headers],0))</f>
        <v>IT Equipment</v>
      </c>
      <c r="V79" s="76">
        <f>INDEX(Product[#All],MATCH(Sales[[#This Row],[Product_ID]],Product[[#All],[Product_ID]],0),MATCH(Sales[[#Headers],[Unit_Cost]],Product[#Headers],0))</f>
        <v>4500</v>
      </c>
      <c r="W79" s="76">
        <f>INDEX(Product[#All],MATCH(Sales[[#This Row],[Product_ID]],Product[[#All],[Product_ID]],0),MATCH("List_Price",Product[#Headers],0))</f>
        <v>6800</v>
      </c>
      <c r="X79" s="78">
        <f>Sales[[#This Row],[Quantity]]*(Sales[[#This Row],[List_Price]]*(1-Sales[[#This Row],[Discount]]))</f>
        <v>107712</v>
      </c>
      <c r="Y79" s="150">
        <f>Sales[[#This Row],[Profit]]/Sales[[#This Row],[Cost_Amount]]</f>
        <v>0.32977777777777778</v>
      </c>
    </row>
    <row r="80" spans="1:25" x14ac:dyDescent="0.25">
      <c r="A80" s="17" t="s">
        <v>247</v>
      </c>
      <c r="B80" s="6">
        <v>45832</v>
      </c>
      <c r="C80" s="100">
        <f>MONTH(Sales[[#This Row],[Sale_Date]])</f>
        <v>6</v>
      </c>
      <c r="D80" s="100" t="str">
        <f t="shared" si="1"/>
        <v>June</v>
      </c>
      <c r="E80" s="4" t="s">
        <v>139</v>
      </c>
      <c r="F80" s="4" t="s">
        <v>101</v>
      </c>
      <c r="G80" s="4" t="s">
        <v>121</v>
      </c>
      <c r="H80" s="7">
        <v>8</v>
      </c>
      <c r="I80" s="40">
        <v>0</v>
      </c>
      <c r="J80" s="7">
        <v>28800</v>
      </c>
      <c r="K80" s="33">
        <v>19200</v>
      </c>
      <c r="L80" s="7">
        <v>9600</v>
      </c>
      <c r="M80" s="4" t="s">
        <v>102</v>
      </c>
      <c r="N80" s="18" t="s">
        <v>35</v>
      </c>
      <c r="O80" t="s">
        <v>553</v>
      </c>
      <c r="P80" t="s">
        <v>547</v>
      </c>
      <c r="Q80" t="s">
        <v>423</v>
      </c>
      <c r="R80" t="s">
        <v>394</v>
      </c>
      <c r="S80" t="s">
        <v>402</v>
      </c>
      <c r="T80" t="s">
        <v>476</v>
      </c>
      <c r="U80" t="str">
        <f>INDEX(Product[#All],MATCH(Sales[[#This Row],[Product_ID]],Product[[#All],[Product_ID]],0),MATCH(Sales[[#Headers],[Category]],Product[#Headers],0))</f>
        <v>IT Equipment</v>
      </c>
      <c r="V80" s="76">
        <f>INDEX(Product[#All],MATCH(Sales[[#This Row],[Product_ID]],Product[[#All],[Product_ID]],0),MATCH(Sales[[#Headers],[Unit_Cost]],Product[#Headers],0))</f>
        <v>2400</v>
      </c>
      <c r="W80" s="76">
        <f>INDEX(Product[#All],MATCH(Sales[[#This Row],[Product_ID]],Product[[#All],[Product_ID]],0),MATCH("List_Price",Product[#Headers],0))</f>
        <v>3600</v>
      </c>
      <c r="X80" s="78">
        <f>Sales[[#This Row],[Quantity]]*(Sales[[#This Row],[List_Price]]*(1-Sales[[#This Row],[Discount]]))</f>
        <v>28800</v>
      </c>
      <c r="Y80" s="150">
        <f>Sales[[#This Row],[Profit]]/Sales[[#This Row],[Cost_Amount]]</f>
        <v>0.5</v>
      </c>
    </row>
    <row r="81" spans="1:25" x14ac:dyDescent="0.25">
      <c r="A81" s="17" t="s">
        <v>248</v>
      </c>
      <c r="B81" s="6">
        <v>45730</v>
      </c>
      <c r="C81" s="100">
        <f>MONTH(Sales[[#This Row],[Sale_Date]])</f>
        <v>3</v>
      </c>
      <c r="D81" s="100" t="str">
        <f t="shared" si="1"/>
        <v>March</v>
      </c>
      <c r="E81" s="4" t="s">
        <v>524</v>
      </c>
      <c r="F81" s="4" t="s">
        <v>241</v>
      </c>
      <c r="G81" s="4" t="s">
        <v>91</v>
      </c>
      <c r="H81" s="7">
        <v>18</v>
      </c>
      <c r="I81" s="40">
        <v>0.1</v>
      </c>
      <c r="J81" s="7">
        <v>55080</v>
      </c>
      <c r="K81" s="33">
        <v>39600</v>
      </c>
      <c r="L81" s="7">
        <v>15480</v>
      </c>
      <c r="M81" s="4" t="s">
        <v>63</v>
      </c>
      <c r="N81" s="18" t="s">
        <v>122</v>
      </c>
      <c r="O81" t="s">
        <v>525</v>
      </c>
      <c r="P81" t="s">
        <v>520</v>
      </c>
      <c r="Q81" t="s">
        <v>432</v>
      </c>
      <c r="R81" t="s">
        <v>398</v>
      </c>
      <c r="S81" t="s">
        <v>399</v>
      </c>
      <c r="T81" t="s">
        <v>467</v>
      </c>
      <c r="U81" t="str">
        <f>INDEX(Product[#All],MATCH(Sales[[#This Row],[Product_ID]],Product[[#All],[Product_ID]],0),MATCH(Sales[[#Headers],[Category]],Product[#Headers],0))</f>
        <v>IT Equipment</v>
      </c>
      <c r="V81" s="76">
        <f>INDEX(Product[#All],MATCH(Sales[[#This Row],[Product_ID]],Product[[#All],[Product_ID]],0),MATCH(Sales[[#Headers],[Unit_Cost]],Product[#Headers],0))</f>
        <v>2200</v>
      </c>
      <c r="W81" s="76">
        <f>INDEX(Product[#All],MATCH(Sales[[#This Row],[Product_ID]],Product[[#All],[Product_ID]],0),MATCH("List_Price",Product[#Headers],0))</f>
        <v>3400</v>
      </c>
      <c r="X81" s="78">
        <f>Sales[[#This Row],[Quantity]]*(Sales[[#This Row],[List_Price]]*(1-Sales[[#This Row],[Discount]]))</f>
        <v>55080</v>
      </c>
      <c r="Y81" s="150">
        <f>Sales[[#This Row],[Profit]]/Sales[[#This Row],[Cost_Amount]]</f>
        <v>0.39090909090909093</v>
      </c>
    </row>
    <row r="82" spans="1:25" x14ac:dyDescent="0.25">
      <c r="A82" s="17" t="s">
        <v>250</v>
      </c>
      <c r="B82" s="6">
        <v>45669</v>
      </c>
      <c r="C82" s="100">
        <f>MONTH(Sales[[#This Row],[Sale_Date]])</f>
        <v>1</v>
      </c>
      <c r="D82" s="100" t="str">
        <f t="shared" si="1"/>
        <v>January</v>
      </c>
      <c r="E82" s="4" t="s">
        <v>225</v>
      </c>
      <c r="F82" s="4" t="s">
        <v>164</v>
      </c>
      <c r="G82" s="4" t="s">
        <v>53</v>
      </c>
      <c r="H82" s="7">
        <v>15</v>
      </c>
      <c r="I82" s="40">
        <v>0.05</v>
      </c>
      <c r="J82" s="7">
        <v>59850</v>
      </c>
      <c r="K82" s="33">
        <v>42000</v>
      </c>
      <c r="L82" s="7">
        <v>17850</v>
      </c>
      <c r="M82" s="4" t="s">
        <v>44</v>
      </c>
      <c r="N82" s="18" t="s">
        <v>35</v>
      </c>
      <c r="O82" t="s">
        <v>487</v>
      </c>
      <c r="P82" t="s">
        <v>485</v>
      </c>
      <c r="Q82" t="s">
        <v>422</v>
      </c>
      <c r="R82" t="s">
        <v>394</v>
      </c>
      <c r="S82" t="s">
        <v>402</v>
      </c>
      <c r="T82" t="s">
        <v>473</v>
      </c>
      <c r="U82" t="str">
        <f>INDEX(Product[#All],MATCH(Sales[[#This Row],[Product_ID]],Product[[#All],[Product_ID]],0),MATCH(Sales[[#Headers],[Category]],Product[#Headers],0))</f>
        <v>IT Equipment</v>
      </c>
      <c r="V82" s="76">
        <f>INDEX(Product[#All],MATCH(Sales[[#This Row],[Product_ID]],Product[[#All],[Product_ID]],0),MATCH(Sales[[#Headers],[Unit_Cost]],Product[#Headers],0))</f>
        <v>2800</v>
      </c>
      <c r="W82" s="76">
        <f>INDEX(Product[#All],MATCH(Sales[[#This Row],[Product_ID]],Product[[#All],[Product_ID]],0),MATCH("List_Price",Product[#Headers],0))</f>
        <v>4200</v>
      </c>
      <c r="X82" s="78">
        <f>Sales[[#This Row],[Quantity]]*(Sales[[#This Row],[List_Price]]*(1-Sales[[#This Row],[Discount]]))</f>
        <v>59850</v>
      </c>
      <c r="Y82" s="150">
        <f>Sales[[#This Row],[Profit]]/Sales[[#This Row],[Cost_Amount]]</f>
        <v>0.42499999999999999</v>
      </c>
    </row>
    <row r="83" spans="1:25" x14ac:dyDescent="0.25">
      <c r="A83" s="17" t="s">
        <v>251</v>
      </c>
      <c r="B83" s="6">
        <v>45795</v>
      </c>
      <c r="C83" s="100">
        <f>MONTH(Sales[[#This Row],[Sale_Date]])</f>
        <v>5</v>
      </c>
      <c r="D83" s="100" t="str">
        <f t="shared" si="1"/>
        <v>May</v>
      </c>
      <c r="E83" s="4" t="s">
        <v>114</v>
      </c>
      <c r="F83" s="4" t="s">
        <v>151</v>
      </c>
      <c r="G83" s="4" t="s">
        <v>81</v>
      </c>
      <c r="H83" s="7">
        <v>6</v>
      </c>
      <c r="I83" s="40">
        <v>0.12</v>
      </c>
      <c r="J83" s="7">
        <v>47520</v>
      </c>
      <c r="K83" s="33">
        <v>39000</v>
      </c>
      <c r="L83" s="7">
        <v>8520</v>
      </c>
      <c r="M83" s="4" t="s">
        <v>63</v>
      </c>
      <c r="N83" s="18" t="s">
        <v>35</v>
      </c>
      <c r="O83" t="s">
        <v>538</v>
      </c>
      <c r="P83" t="s">
        <v>535</v>
      </c>
      <c r="Q83" t="s">
        <v>408</v>
      </c>
      <c r="R83" t="s">
        <v>409</v>
      </c>
      <c r="S83" t="s">
        <v>395</v>
      </c>
      <c r="T83" t="s">
        <v>470</v>
      </c>
      <c r="U83" t="str">
        <f>INDEX(Product[#All],MATCH(Sales[[#This Row],[Product_ID]],Product[[#All],[Product_ID]],0),MATCH(Sales[[#Headers],[Category]],Product[#Headers],0))</f>
        <v>IT Equipment</v>
      </c>
      <c r="V83" s="76">
        <f>INDEX(Product[#All],MATCH(Sales[[#This Row],[Product_ID]],Product[[#All],[Product_ID]],0),MATCH(Sales[[#Headers],[Unit_Cost]],Product[#Headers],0))</f>
        <v>6500</v>
      </c>
      <c r="W83" s="76">
        <f>INDEX(Product[#All],MATCH(Sales[[#This Row],[Product_ID]],Product[[#All],[Product_ID]],0),MATCH("List_Price",Product[#Headers],0))</f>
        <v>9000</v>
      </c>
      <c r="X83" s="78">
        <f>Sales[[#This Row],[Quantity]]*(Sales[[#This Row],[List_Price]]*(1-Sales[[#This Row],[Discount]]))</f>
        <v>47520</v>
      </c>
      <c r="Y83" s="150">
        <f>Sales[[#This Row],[Profit]]/Sales[[#This Row],[Cost_Amount]]</f>
        <v>0.21846153846153846</v>
      </c>
    </row>
    <row r="84" spans="1:25" x14ac:dyDescent="0.25">
      <c r="A84" s="17" t="s">
        <v>252</v>
      </c>
      <c r="B84" s="6">
        <v>45684</v>
      </c>
      <c r="C84" s="100">
        <f>MONTH(Sales[[#This Row],[Sale_Date]])</f>
        <v>1</v>
      </c>
      <c r="D84" s="100" t="str">
        <f t="shared" si="1"/>
        <v>January</v>
      </c>
      <c r="E84" s="4" t="s">
        <v>205</v>
      </c>
      <c r="F84" s="4" t="s">
        <v>125</v>
      </c>
      <c r="G84" s="4" t="s">
        <v>71</v>
      </c>
      <c r="H84" s="7">
        <v>14</v>
      </c>
      <c r="I84" s="40">
        <v>0.12</v>
      </c>
      <c r="J84" s="7">
        <v>88704</v>
      </c>
      <c r="K84" s="33">
        <v>67200</v>
      </c>
      <c r="L84" s="7">
        <v>21504</v>
      </c>
      <c r="M84" s="4" t="s">
        <v>39</v>
      </c>
      <c r="N84" s="18" t="s">
        <v>45</v>
      </c>
      <c r="O84" t="s">
        <v>563</v>
      </c>
      <c r="P84" t="s">
        <v>478</v>
      </c>
      <c r="Q84" t="s">
        <v>450</v>
      </c>
      <c r="R84" t="s">
        <v>398</v>
      </c>
      <c r="S84" t="s">
        <v>395</v>
      </c>
      <c r="T84" t="s">
        <v>462</v>
      </c>
      <c r="U84" t="str">
        <f>INDEX(Product[#All],MATCH(Sales[[#This Row],[Product_ID]],Product[[#All],[Product_ID]],0),MATCH(Sales[[#Headers],[Category]],Product[#Headers],0))</f>
        <v>Office</v>
      </c>
      <c r="V84" s="76">
        <f>INDEX(Product[#All],MATCH(Sales[[#This Row],[Product_ID]],Product[[#All],[Product_ID]],0),MATCH(Sales[[#Headers],[Unit_Cost]],Product[#Headers],0))</f>
        <v>4800</v>
      </c>
      <c r="W84" s="76">
        <f>INDEX(Product[#All],MATCH(Sales[[#This Row],[Product_ID]],Product[[#All],[Product_ID]],0),MATCH("List_Price",Product[#Headers],0))</f>
        <v>7200</v>
      </c>
      <c r="X84" s="78">
        <f>Sales[[#This Row],[Quantity]]*(Sales[[#This Row],[List_Price]]*(1-Sales[[#This Row],[Discount]]))</f>
        <v>88704</v>
      </c>
      <c r="Y84" s="150">
        <f>Sales[[#This Row],[Profit]]/Sales[[#This Row],[Cost_Amount]]</f>
        <v>0.32</v>
      </c>
    </row>
    <row r="85" spans="1:25" x14ac:dyDescent="0.25">
      <c r="A85" s="17" t="s">
        <v>253</v>
      </c>
      <c r="B85" s="6">
        <v>45833</v>
      </c>
      <c r="C85" s="100">
        <f>MONTH(Sales[[#This Row],[Sale_Date]])</f>
        <v>6</v>
      </c>
      <c r="D85" s="100" t="str">
        <f t="shared" si="1"/>
        <v>June</v>
      </c>
      <c r="E85" s="4" t="s">
        <v>254</v>
      </c>
      <c r="F85" s="4" t="s">
        <v>115</v>
      </c>
      <c r="G85" s="4" t="s">
        <v>152</v>
      </c>
      <c r="H85" s="7">
        <v>3</v>
      </c>
      <c r="I85" s="40">
        <v>0.1</v>
      </c>
      <c r="J85" s="7">
        <v>7560</v>
      </c>
      <c r="K85" s="33">
        <v>5400</v>
      </c>
      <c r="L85" s="7">
        <v>2160</v>
      </c>
      <c r="M85" s="4" t="s">
        <v>44</v>
      </c>
      <c r="N85" s="18" t="s">
        <v>35</v>
      </c>
      <c r="O85" t="s">
        <v>532</v>
      </c>
      <c r="P85" t="s">
        <v>520</v>
      </c>
      <c r="Q85" t="s">
        <v>443</v>
      </c>
      <c r="R85" t="s">
        <v>394</v>
      </c>
      <c r="S85" t="s">
        <v>395</v>
      </c>
      <c r="T85" t="s">
        <v>459</v>
      </c>
      <c r="U85" t="str">
        <f>INDEX(Product[#All],MATCH(Sales[[#This Row],[Product_ID]],Product[[#All],[Product_ID]],0),MATCH(Sales[[#Headers],[Category]],Product[#Headers],0))</f>
        <v>Accessories</v>
      </c>
      <c r="V85" s="76">
        <f>INDEX(Product[#All],MATCH(Sales[[#This Row],[Product_ID]],Product[[#All],[Product_ID]],0),MATCH(Sales[[#Headers],[Unit_Cost]],Product[#Headers],0))</f>
        <v>1800</v>
      </c>
      <c r="W85" s="76">
        <f>INDEX(Product[#All],MATCH(Sales[[#This Row],[Product_ID]],Product[[#All],[Product_ID]],0),MATCH("List_Price",Product[#Headers],0))</f>
        <v>2800</v>
      </c>
      <c r="X85" s="78">
        <f>Sales[[#This Row],[Quantity]]*(Sales[[#This Row],[List_Price]]*(1-Sales[[#This Row],[Discount]]))</f>
        <v>7560</v>
      </c>
      <c r="Y85" s="150">
        <f>Sales[[#This Row],[Profit]]/Sales[[#This Row],[Cost_Amount]]</f>
        <v>0.4</v>
      </c>
    </row>
    <row r="86" spans="1:25" x14ac:dyDescent="0.25">
      <c r="A86" s="17" t="s">
        <v>255</v>
      </c>
      <c r="B86" s="6">
        <v>45722</v>
      </c>
      <c r="C86" s="100">
        <f>MONTH(Sales[[#This Row],[Sale_Date]])</f>
        <v>3</v>
      </c>
      <c r="D86" s="100" t="str">
        <f t="shared" si="1"/>
        <v>March</v>
      </c>
      <c r="E86" s="4" t="s">
        <v>233</v>
      </c>
      <c r="F86" s="4" t="s">
        <v>56</v>
      </c>
      <c r="G86" s="4" t="s">
        <v>33</v>
      </c>
      <c r="H86" s="7">
        <v>6</v>
      </c>
      <c r="I86" s="40">
        <v>0.12</v>
      </c>
      <c r="J86" s="7">
        <v>19008</v>
      </c>
      <c r="K86" s="33">
        <v>14400</v>
      </c>
      <c r="L86" s="7">
        <v>4608</v>
      </c>
      <c r="M86" s="4" t="s">
        <v>63</v>
      </c>
      <c r="N86" s="18" t="s">
        <v>35</v>
      </c>
      <c r="O86" t="s">
        <v>552</v>
      </c>
      <c r="P86" t="s">
        <v>547</v>
      </c>
      <c r="Q86" t="s">
        <v>417</v>
      </c>
      <c r="R86" t="s">
        <v>398</v>
      </c>
      <c r="S86" t="s">
        <v>399</v>
      </c>
      <c r="T86" t="s">
        <v>475</v>
      </c>
      <c r="U86" t="str">
        <f>INDEX(Product[#All],MATCH(Sales[[#This Row],[Product_ID]],Product[[#All],[Product_ID]],0),MATCH(Sales[[#Headers],[Category]],Product[#Headers],0))</f>
        <v>Accessories</v>
      </c>
      <c r="V86" s="76">
        <f>INDEX(Product[#All],MATCH(Sales[[#This Row],[Product_ID]],Product[[#All],[Product_ID]],0),MATCH(Sales[[#Headers],[Unit_Cost]],Product[#Headers],0))</f>
        <v>2400</v>
      </c>
      <c r="W86" s="76">
        <f>INDEX(Product[#All],MATCH(Sales[[#This Row],[Product_ID]],Product[[#All],[Product_ID]],0),MATCH("List_Price",Product[#Headers],0))</f>
        <v>3600</v>
      </c>
      <c r="X86" s="78">
        <f>Sales[[#This Row],[Quantity]]*(Sales[[#This Row],[List_Price]]*(1-Sales[[#This Row],[Discount]]))</f>
        <v>19008</v>
      </c>
      <c r="Y86" s="150">
        <f>Sales[[#This Row],[Profit]]/Sales[[#This Row],[Cost_Amount]]</f>
        <v>0.32</v>
      </c>
    </row>
    <row r="87" spans="1:25" x14ac:dyDescent="0.25">
      <c r="A87" s="17" t="s">
        <v>256</v>
      </c>
      <c r="B87" s="6">
        <v>45761</v>
      </c>
      <c r="C87" s="100">
        <f>MONTH(Sales[[#This Row],[Sale_Date]])</f>
        <v>4</v>
      </c>
      <c r="D87" s="100" t="str">
        <f t="shared" si="1"/>
        <v>April</v>
      </c>
      <c r="E87" s="4" t="s">
        <v>181</v>
      </c>
      <c r="F87" s="4" t="s">
        <v>369</v>
      </c>
      <c r="G87" s="4" t="s">
        <v>91</v>
      </c>
      <c r="H87" s="7">
        <v>15</v>
      </c>
      <c r="I87" s="40">
        <v>0.1</v>
      </c>
      <c r="J87" s="7">
        <v>45900</v>
      </c>
      <c r="K87" s="33">
        <v>33000</v>
      </c>
      <c r="L87" s="7">
        <v>12900</v>
      </c>
      <c r="M87" s="4" t="s">
        <v>44</v>
      </c>
      <c r="N87" s="18" t="s">
        <v>740</v>
      </c>
      <c r="O87" t="s">
        <v>541</v>
      </c>
      <c r="P87" t="s">
        <v>535</v>
      </c>
      <c r="Q87" t="s">
        <v>433</v>
      </c>
      <c r="R87" t="s">
        <v>409</v>
      </c>
      <c r="S87" t="s">
        <v>395</v>
      </c>
      <c r="T87" t="s">
        <v>467</v>
      </c>
      <c r="U87" t="str">
        <f>INDEX(Product[#All],MATCH(Sales[[#This Row],[Product_ID]],Product[[#All],[Product_ID]],0),MATCH(Sales[[#Headers],[Category]],Product[#Headers],0))</f>
        <v>IT Equipment</v>
      </c>
      <c r="V87" s="76">
        <f>INDEX(Product[#All],MATCH(Sales[[#This Row],[Product_ID]],Product[[#All],[Product_ID]],0),MATCH(Sales[[#Headers],[Unit_Cost]],Product[#Headers],0))</f>
        <v>2200</v>
      </c>
      <c r="W87" s="76">
        <f>INDEX(Product[#All],MATCH(Sales[[#This Row],[Product_ID]],Product[[#All],[Product_ID]],0),MATCH("List_Price",Product[#Headers],0))</f>
        <v>3400</v>
      </c>
      <c r="X87" s="78">
        <f>Sales[[#This Row],[Quantity]]*(Sales[[#This Row],[List_Price]]*(1-Sales[[#This Row],[Discount]]))</f>
        <v>45900</v>
      </c>
      <c r="Y87" s="150">
        <f>Sales[[#This Row],[Profit]]/Sales[[#This Row],[Cost_Amount]]</f>
        <v>0.39090909090909093</v>
      </c>
    </row>
    <row r="88" spans="1:25" x14ac:dyDescent="0.25">
      <c r="A88" s="17" t="s">
        <v>258</v>
      </c>
      <c r="B88" s="6">
        <v>45807</v>
      </c>
      <c r="C88" s="100">
        <f>MONTH(Sales[[#This Row],[Sale_Date]])</f>
        <v>5</v>
      </c>
      <c r="D88" s="100" t="str">
        <f t="shared" si="1"/>
        <v>May</v>
      </c>
      <c r="E88" s="4" t="s">
        <v>147</v>
      </c>
      <c r="F88" s="4" t="s">
        <v>90</v>
      </c>
      <c r="G88" s="4" t="s">
        <v>85</v>
      </c>
      <c r="H88" s="7">
        <v>3</v>
      </c>
      <c r="I88" s="40">
        <v>0.12</v>
      </c>
      <c r="J88" s="7">
        <v>17160</v>
      </c>
      <c r="K88" s="33">
        <v>12600</v>
      </c>
      <c r="L88" s="7">
        <v>4560</v>
      </c>
      <c r="M88" s="4" t="s">
        <v>63</v>
      </c>
      <c r="N88" s="18" t="s">
        <v>122</v>
      </c>
      <c r="O88" t="s">
        <v>493</v>
      </c>
      <c r="P88" t="s">
        <v>485</v>
      </c>
      <c r="Q88" t="s">
        <v>407</v>
      </c>
      <c r="R88" t="s">
        <v>398</v>
      </c>
      <c r="S88" t="s">
        <v>402</v>
      </c>
      <c r="T88" t="s">
        <v>474</v>
      </c>
      <c r="U88" t="str">
        <f>INDEX(Product[#All],MATCH(Sales[[#This Row],[Product_ID]],Product[[#All],[Product_ID]],0),MATCH(Sales[[#Headers],[Category]],Product[#Headers],0))</f>
        <v>Office</v>
      </c>
      <c r="V88" s="76">
        <f>INDEX(Product[#All],MATCH(Sales[[#This Row],[Product_ID]],Product[[#All],[Product_ID]],0),MATCH(Sales[[#Headers],[Unit_Cost]],Product[#Headers],0))</f>
        <v>4200</v>
      </c>
      <c r="W88" s="76">
        <f>INDEX(Product[#All],MATCH(Sales[[#This Row],[Product_ID]],Product[[#All],[Product_ID]],0),MATCH("List_Price",Product[#Headers],0))</f>
        <v>6500</v>
      </c>
      <c r="X88" s="78">
        <f>Sales[[#This Row],[Quantity]]*(Sales[[#This Row],[List_Price]]*(1-Sales[[#This Row],[Discount]]))</f>
        <v>17160</v>
      </c>
      <c r="Y88" s="150">
        <f>Sales[[#This Row],[Profit]]/Sales[[#This Row],[Cost_Amount]]</f>
        <v>0.3619047619047619</v>
      </c>
    </row>
    <row r="89" spans="1:25" x14ac:dyDescent="0.25">
      <c r="A89" s="17" t="s">
        <v>260</v>
      </c>
      <c r="B89" s="6">
        <v>45680</v>
      </c>
      <c r="C89" s="100">
        <f>MONTH(Sales[[#This Row],[Sale_Date]])</f>
        <v>1</v>
      </c>
      <c r="D89" s="100" t="str">
        <f t="shared" si="1"/>
        <v>January</v>
      </c>
      <c r="E89" s="4" t="s">
        <v>261</v>
      </c>
      <c r="F89" s="4" t="s">
        <v>262</v>
      </c>
      <c r="G89" s="4" t="s">
        <v>85</v>
      </c>
      <c r="H89" s="7">
        <v>10</v>
      </c>
      <c r="I89" s="40">
        <v>0.08</v>
      </c>
      <c r="J89" s="7">
        <v>59800</v>
      </c>
      <c r="K89" s="33">
        <v>42000</v>
      </c>
      <c r="L89" s="7">
        <v>17800</v>
      </c>
      <c r="M89" s="4" t="s">
        <v>39</v>
      </c>
      <c r="N89" s="18" t="s">
        <v>35</v>
      </c>
      <c r="O89" t="s">
        <v>587</v>
      </c>
      <c r="P89" t="s">
        <v>579</v>
      </c>
      <c r="Q89" t="s">
        <v>403</v>
      </c>
      <c r="R89" t="s">
        <v>394</v>
      </c>
      <c r="S89" t="s">
        <v>399</v>
      </c>
      <c r="T89" t="s">
        <v>474</v>
      </c>
      <c r="U89" t="str">
        <f>INDEX(Product[#All],MATCH(Sales[[#This Row],[Product_ID]],Product[[#All],[Product_ID]],0),MATCH(Sales[[#Headers],[Category]],Product[#Headers],0))</f>
        <v>Office</v>
      </c>
      <c r="V89" s="76">
        <f>INDEX(Product[#All],MATCH(Sales[[#This Row],[Product_ID]],Product[[#All],[Product_ID]],0),MATCH(Sales[[#Headers],[Unit_Cost]],Product[#Headers],0))</f>
        <v>4200</v>
      </c>
      <c r="W89" s="76">
        <f>INDEX(Product[#All],MATCH(Sales[[#This Row],[Product_ID]],Product[[#All],[Product_ID]],0),MATCH("List_Price",Product[#Headers],0))</f>
        <v>6500</v>
      </c>
      <c r="X89" s="78">
        <f>Sales[[#This Row],[Quantity]]*(Sales[[#This Row],[List_Price]]*(1-Sales[[#This Row],[Discount]]))</f>
        <v>59800</v>
      </c>
      <c r="Y89" s="150">
        <f>Sales[[#This Row],[Profit]]/Sales[[#This Row],[Cost_Amount]]</f>
        <v>0.4238095238095238</v>
      </c>
    </row>
    <row r="90" spans="1:25" x14ac:dyDescent="0.25">
      <c r="A90" s="17" t="s">
        <v>263</v>
      </c>
      <c r="B90" s="6">
        <v>45692</v>
      </c>
      <c r="C90" s="100">
        <f>MONTH(Sales[[#This Row],[Sale_Date]])</f>
        <v>2</v>
      </c>
      <c r="D90" s="100" t="str">
        <f t="shared" si="1"/>
        <v>February</v>
      </c>
      <c r="E90" s="4" t="s">
        <v>106</v>
      </c>
      <c r="F90" s="4" t="s">
        <v>148</v>
      </c>
      <c r="G90" s="4" t="s">
        <v>121</v>
      </c>
      <c r="H90" s="7">
        <v>18</v>
      </c>
      <c r="I90" s="40">
        <v>0</v>
      </c>
      <c r="J90" s="7">
        <v>64800</v>
      </c>
      <c r="K90" s="33">
        <v>43200</v>
      </c>
      <c r="L90" s="7">
        <v>21600</v>
      </c>
      <c r="M90" s="4" t="s">
        <v>102</v>
      </c>
      <c r="N90" s="18" t="s">
        <v>35</v>
      </c>
      <c r="O90" t="s">
        <v>529</v>
      </c>
      <c r="P90" t="s">
        <v>520</v>
      </c>
      <c r="Q90" t="s">
        <v>437</v>
      </c>
      <c r="R90" t="s">
        <v>409</v>
      </c>
      <c r="S90" t="s">
        <v>402</v>
      </c>
      <c r="T90" t="s">
        <v>476</v>
      </c>
      <c r="U90" t="str">
        <f>INDEX(Product[#All],MATCH(Sales[[#This Row],[Product_ID]],Product[[#All],[Product_ID]],0),MATCH(Sales[[#Headers],[Category]],Product[#Headers],0))</f>
        <v>IT Equipment</v>
      </c>
      <c r="V90" s="76">
        <f>INDEX(Product[#All],MATCH(Sales[[#This Row],[Product_ID]],Product[[#All],[Product_ID]],0),MATCH(Sales[[#Headers],[Unit_Cost]],Product[#Headers],0))</f>
        <v>2400</v>
      </c>
      <c r="W90" s="76">
        <f>INDEX(Product[#All],MATCH(Sales[[#This Row],[Product_ID]],Product[[#All],[Product_ID]],0),MATCH("List_Price",Product[#Headers],0))</f>
        <v>3600</v>
      </c>
      <c r="X90" s="78">
        <f>Sales[[#This Row],[Quantity]]*(Sales[[#This Row],[List_Price]]*(1-Sales[[#This Row],[Discount]]))</f>
        <v>64800</v>
      </c>
      <c r="Y90" s="150">
        <f>Sales[[#This Row],[Profit]]/Sales[[#This Row],[Cost_Amount]]</f>
        <v>0.5</v>
      </c>
    </row>
    <row r="91" spans="1:25" x14ac:dyDescent="0.25">
      <c r="A91" s="17" t="s">
        <v>264</v>
      </c>
      <c r="B91" s="6">
        <v>45831</v>
      </c>
      <c r="C91" s="100">
        <f>MONTH(Sales[[#This Row],[Sale_Date]])</f>
        <v>6</v>
      </c>
      <c r="D91" s="100" t="str">
        <f t="shared" si="1"/>
        <v>June</v>
      </c>
      <c r="E91" s="4" t="s">
        <v>265</v>
      </c>
      <c r="F91" s="4" t="s">
        <v>112</v>
      </c>
      <c r="G91" s="4" t="s">
        <v>85</v>
      </c>
      <c r="H91" s="7">
        <v>5</v>
      </c>
      <c r="I91" s="40">
        <v>0.03</v>
      </c>
      <c r="J91" s="7">
        <v>31525</v>
      </c>
      <c r="K91" s="33">
        <v>21000</v>
      </c>
      <c r="L91" s="7">
        <v>10525</v>
      </c>
      <c r="M91" s="4" t="s">
        <v>102</v>
      </c>
      <c r="N91" s="18" t="s">
        <v>35</v>
      </c>
      <c r="O91" t="s">
        <v>506</v>
      </c>
      <c r="P91" t="s">
        <v>485</v>
      </c>
      <c r="Q91" t="s">
        <v>400</v>
      </c>
      <c r="R91" t="s">
        <v>398</v>
      </c>
      <c r="S91" t="s">
        <v>399</v>
      </c>
      <c r="T91" t="s">
        <v>474</v>
      </c>
      <c r="U91" t="str">
        <f>INDEX(Product[#All],MATCH(Sales[[#This Row],[Product_ID]],Product[[#All],[Product_ID]],0),MATCH(Sales[[#Headers],[Category]],Product[#Headers],0))</f>
        <v>Office</v>
      </c>
      <c r="V91" s="76">
        <f>INDEX(Product[#All],MATCH(Sales[[#This Row],[Product_ID]],Product[[#All],[Product_ID]],0),MATCH(Sales[[#Headers],[Unit_Cost]],Product[#Headers],0))</f>
        <v>4200</v>
      </c>
      <c r="W91" s="76">
        <f>INDEX(Product[#All],MATCH(Sales[[#This Row],[Product_ID]],Product[[#All],[Product_ID]],0),MATCH("List_Price",Product[#Headers],0))</f>
        <v>6500</v>
      </c>
      <c r="X91" s="78">
        <f>Sales[[#This Row],[Quantity]]*(Sales[[#This Row],[List_Price]]*(1-Sales[[#This Row],[Discount]]))</f>
        <v>31525</v>
      </c>
      <c r="Y91" s="150">
        <f>Sales[[#This Row],[Profit]]/Sales[[#This Row],[Cost_Amount]]</f>
        <v>0.50119047619047619</v>
      </c>
    </row>
    <row r="92" spans="1:25" x14ac:dyDescent="0.25">
      <c r="A92" s="17" t="s">
        <v>266</v>
      </c>
      <c r="B92" s="6">
        <v>45800</v>
      </c>
      <c r="C92" s="100">
        <f>MONTH(Sales[[#This Row],[Sale_Date]])</f>
        <v>5</v>
      </c>
      <c r="D92" s="100" t="str">
        <f t="shared" si="1"/>
        <v>May</v>
      </c>
      <c r="E92" s="4" t="s">
        <v>173</v>
      </c>
      <c r="F92" s="4" t="s">
        <v>171</v>
      </c>
      <c r="G92" s="4" t="s">
        <v>152</v>
      </c>
      <c r="H92" s="7">
        <v>1</v>
      </c>
      <c r="I92" s="40">
        <v>0.08</v>
      </c>
      <c r="J92" s="7">
        <v>2576</v>
      </c>
      <c r="K92" s="33">
        <v>1800</v>
      </c>
      <c r="L92" s="7">
        <v>776</v>
      </c>
      <c r="M92" s="4" t="s">
        <v>34</v>
      </c>
      <c r="N92" s="18" t="s">
        <v>45</v>
      </c>
      <c r="O92" t="s">
        <v>578</v>
      </c>
      <c r="P92" t="s">
        <v>579</v>
      </c>
      <c r="Q92" t="s">
        <v>446</v>
      </c>
      <c r="R92" t="s">
        <v>394</v>
      </c>
      <c r="S92" t="s">
        <v>395</v>
      </c>
      <c r="T92" t="s">
        <v>459</v>
      </c>
      <c r="U92" t="str">
        <f>INDEX(Product[#All],MATCH(Sales[[#This Row],[Product_ID]],Product[[#All],[Product_ID]],0),MATCH(Sales[[#Headers],[Category]],Product[#Headers],0))</f>
        <v>Accessories</v>
      </c>
      <c r="V92" s="76">
        <f>INDEX(Product[#All],MATCH(Sales[[#This Row],[Product_ID]],Product[[#All],[Product_ID]],0),MATCH(Sales[[#Headers],[Unit_Cost]],Product[#Headers],0))</f>
        <v>1800</v>
      </c>
      <c r="W92" s="76">
        <f>INDEX(Product[#All],MATCH(Sales[[#This Row],[Product_ID]],Product[[#All],[Product_ID]],0),MATCH("List_Price",Product[#Headers],0))</f>
        <v>2800</v>
      </c>
      <c r="X92" s="78">
        <f>Sales[[#This Row],[Quantity]]*(Sales[[#This Row],[List_Price]]*(1-Sales[[#This Row],[Discount]]))</f>
        <v>2576</v>
      </c>
      <c r="Y92" s="150">
        <f>Sales[[#This Row],[Profit]]/Sales[[#This Row],[Cost_Amount]]</f>
        <v>0.43111111111111111</v>
      </c>
    </row>
    <row r="93" spans="1:25" x14ac:dyDescent="0.25">
      <c r="A93" s="17" t="s">
        <v>268</v>
      </c>
      <c r="B93" s="6">
        <v>45711</v>
      </c>
      <c r="C93" s="100">
        <f>MONTH(Sales[[#This Row],[Sale_Date]])</f>
        <v>2</v>
      </c>
      <c r="D93" s="100" t="str">
        <f t="shared" si="1"/>
        <v>February</v>
      </c>
      <c r="E93" s="4" t="s">
        <v>119</v>
      </c>
      <c r="F93" s="4" t="s">
        <v>174</v>
      </c>
      <c r="G93" s="4" t="s">
        <v>49</v>
      </c>
      <c r="H93" s="7">
        <v>3</v>
      </c>
      <c r="I93" s="40">
        <v>0.03</v>
      </c>
      <c r="J93" s="7">
        <v>13968</v>
      </c>
      <c r="K93" s="33">
        <v>9600</v>
      </c>
      <c r="L93" s="7">
        <v>4368</v>
      </c>
      <c r="M93" s="4" t="s">
        <v>102</v>
      </c>
      <c r="N93" s="18" t="s">
        <v>45</v>
      </c>
      <c r="O93" t="s">
        <v>566</v>
      </c>
      <c r="P93" t="s">
        <v>478</v>
      </c>
      <c r="Q93" t="s">
        <v>449</v>
      </c>
      <c r="R93" t="s">
        <v>409</v>
      </c>
      <c r="S93" t="s">
        <v>395</v>
      </c>
      <c r="T93" t="s">
        <v>472</v>
      </c>
      <c r="U93" t="str">
        <f>INDEX(Product[#All],MATCH(Sales[[#This Row],[Product_ID]],Product[[#All],[Product_ID]],0),MATCH(Sales[[#Headers],[Category]],Product[#Headers],0))</f>
        <v>IT Equipment</v>
      </c>
      <c r="V93" s="76">
        <f>INDEX(Product[#All],MATCH(Sales[[#This Row],[Product_ID]],Product[[#All],[Product_ID]],0),MATCH(Sales[[#Headers],[Unit_Cost]],Product[#Headers],0))</f>
        <v>3200</v>
      </c>
      <c r="W93" s="76">
        <f>INDEX(Product[#All],MATCH(Sales[[#This Row],[Product_ID]],Product[[#All],[Product_ID]],0),MATCH("List_Price",Product[#Headers],0))</f>
        <v>4800</v>
      </c>
      <c r="X93" s="78">
        <f>Sales[[#This Row],[Quantity]]*(Sales[[#This Row],[List_Price]]*(1-Sales[[#This Row],[Discount]]))</f>
        <v>13968</v>
      </c>
      <c r="Y93" s="150">
        <f>Sales[[#This Row],[Profit]]/Sales[[#This Row],[Cost_Amount]]</f>
        <v>0.45500000000000002</v>
      </c>
    </row>
    <row r="94" spans="1:25" x14ac:dyDescent="0.25">
      <c r="A94" s="17" t="s">
        <v>269</v>
      </c>
      <c r="B94" s="6">
        <v>45699</v>
      </c>
      <c r="C94" s="100">
        <f>MONTH(Sales[[#This Row],[Sale_Date]])</f>
        <v>2</v>
      </c>
      <c r="D94" s="100" t="str">
        <f t="shared" si="1"/>
        <v>February</v>
      </c>
      <c r="E94" s="4" t="s">
        <v>194</v>
      </c>
      <c r="F94" s="4" t="s">
        <v>88</v>
      </c>
      <c r="G94" s="4" t="s">
        <v>195</v>
      </c>
      <c r="H94" s="7">
        <v>17</v>
      </c>
      <c r="I94" s="40">
        <v>0</v>
      </c>
      <c r="J94" s="7">
        <v>18700</v>
      </c>
      <c r="K94" s="33">
        <v>11050</v>
      </c>
      <c r="L94" s="7">
        <v>7650</v>
      </c>
      <c r="M94" s="4" t="s">
        <v>44</v>
      </c>
      <c r="N94" s="18" t="s">
        <v>35</v>
      </c>
      <c r="O94" t="s">
        <v>591</v>
      </c>
      <c r="P94" t="s">
        <v>590</v>
      </c>
      <c r="Q94" t="s">
        <v>442</v>
      </c>
      <c r="R94" t="s">
        <v>409</v>
      </c>
      <c r="S94" t="s">
        <v>402</v>
      </c>
      <c r="T94" t="s">
        <v>461</v>
      </c>
      <c r="U94" t="str">
        <f>INDEX(Product[#All],MATCH(Sales[[#This Row],[Product_ID]],Product[[#All],[Product_ID]],0),MATCH(Sales[[#Headers],[Category]],Product[#Headers],0))</f>
        <v>Accessories</v>
      </c>
      <c r="V94" s="76">
        <f>INDEX(Product[#All],MATCH(Sales[[#This Row],[Product_ID]],Product[[#All],[Product_ID]],0),MATCH(Sales[[#Headers],[Unit_Cost]],Product[#Headers],0))</f>
        <v>650</v>
      </c>
      <c r="W94" s="76">
        <f>INDEX(Product[#All],MATCH(Sales[[#This Row],[Product_ID]],Product[[#All],[Product_ID]],0),MATCH("List_Price",Product[#Headers],0))</f>
        <v>1100</v>
      </c>
      <c r="X94" s="78">
        <f>Sales[[#This Row],[Quantity]]*(Sales[[#This Row],[List_Price]]*(1-Sales[[#This Row],[Discount]]))</f>
        <v>18700</v>
      </c>
      <c r="Y94" s="150">
        <f>Sales[[#This Row],[Profit]]/Sales[[#This Row],[Cost_Amount]]</f>
        <v>0.69230769230769229</v>
      </c>
    </row>
    <row r="95" spans="1:25" x14ac:dyDescent="0.25">
      <c r="A95" s="17" t="s">
        <v>270</v>
      </c>
      <c r="B95" s="6">
        <v>45798</v>
      </c>
      <c r="C95" s="100">
        <f>MONTH(Sales[[#This Row],[Sale_Date]])</f>
        <v>5</v>
      </c>
      <c r="D95" s="100" t="str">
        <f t="shared" si="1"/>
        <v>May</v>
      </c>
      <c r="E95" s="4" t="s">
        <v>201</v>
      </c>
      <c r="F95" s="4" t="s">
        <v>227</v>
      </c>
      <c r="G95" s="4" t="s">
        <v>81</v>
      </c>
      <c r="H95" s="7">
        <v>2</v>
      </c>
      <c r="I95" s="40">
        <v>0.12</v>
      </c>
      <c r="J95" s="7">
        <v>15840</v>
      </c>
      <c r="K95" s="33">
        <v>13000</v>
      </c>
      <c r="L95" s="7">
        <v>2840</v>
      </c>
      <c r="M95" s="4" t="s">
        <v>44</v>
      </c>
      <c r="N95" s="18" t="s">
        <v>35</v>
      </c>
      <c r="O95" t="s">
        <v>562</v>
      </c>
      <c r="P95" t="s">
        <v>478</v>
      </c>
      <c r="Q95" t="s">
        <v>401</v>
      </c>
      <c r="R95" t="s">
        <v>398</v>
      </c>
      <c r="S95" t="s">
        <v>402</v>
      </c>
      <c r="T95" t="s">
        <v>470</v>
      </c>
      <c r="U95" t="str">
        <f>INDEX(Product[#All],MATCH(Sales[[#This Row],[Product_ID]],Product[[#All],[Product_ID]],0),MATCH(Sales[[#Headers],[Category]],Product[#Headers],0))</f>
        <v>IT Equipment</v>
      </c>
      <c r="V95" s="76">
        <f>INDEX(Product[#All],MATCH(Sales[[#This Row],[Product_ID]],Product[[#All],[Product_ID]],0),MATCH(Sales[[#Headers],[Unit_Cost]],Product[#Headers],0))</f>
        <v>6500</v>
      </c>
      <c r="W95" s="76">
        <f>INDEX(Product[#All],MATCH(Sales[[#This Row],[Product_ID]],Product[[#All],[Product_ID]],0),MATCH("List_Price",Product[#Headers],0))</f>
        <v>9000</v>
      </c>
      <c r="X95" s="78">
        <f>Sales[[#This Row],[Quantity]]*(Sales[[#This Row],[List_Price]]*(1-Sales[[#This Row],[Discount]]))</f>
        <v>15840</v>
      </c>
      <c r="Y95" s="150">
        <f>Sales[[#This Row],[Profit]]/Sales[[#This Row],[Cost_Amount]]</f>
        <v>0.21846153846153846</v>
      </c>
    </row>
    <row r="96" spans="1:25" x14ac:dyDescent="0.25">
      <c r="A96" s="17" t="s">
        <v>271</v>
      </c>
      <c r="B96" s="6">
        <v>45806</v>
      </c>
      <c r="C96" s="100">
        <f>MONTH(Sales[[#This Row],[Sale_Date]])</f>
        <v>5</v>
      </c>
      <c r="D96" s="100" t="str">
        <f t="shared" si="1"/>
        <v>May</v>
      </c>
      <c r="E96" s="4" t="s">
        <v>201</v>
      </c>
      <c r="F96" s="4" t="s">
        <v>272</v>
      </c>
      <c r="G96" s="4" t="s">
        <v>95</v>
      </c>
      <c r="H96" s="7">
        <v>7</v>
      </c>
      <c r="I96" s="40">
        <v>0.1</v>
      </c>
      <c r="J96" s="7">
        <v>327600</v>
      </c>
      <c r="K96" s="33">
        <v>294000</v>
      </c>
      <c r="L96" s="7">
        <v>33600</v>
      </c>
      <c r="M96" s="4" t="s">
        <v>44</v>
      </c>
      <c r="N96" s="18" t="s">
        <v>35</v>
      </c>
      <c r="O96" t="s">
        <v>562</v>
      </c>
      <c r="P96" t="s">
        <v>478</v>
      </c>
      <c r="Q96" t="s">
        <v>436</v>
      </c>
      <c r="R96" t="s">
        <v>394</v>
      </c>
      <c r="S96" t="s">
        <v>402</v>
      </c>
      <c r="T96" t="s">
        <v>455</v>
      </c>
      <c r="U96" t="str">
        <f>INDEX(Product[#All],MATCH(Sales[[#This Row],[Product_ID]],Product[[#All],[Product_ID]],0),MATCH(Sales[[#Headers],[Category]],Product[#Headers],0))</f>
        <v>IT Equipment</v>
      </c>
      <c r="V96" s="76">
        <f>INDEX(Product[#All],MATCH(Sales[[#This Row],[Product_ID]],Product[[#All],[Product_ID]],0),MATCH(Sales[[#Headers],[Unit_Cost]],Product[#Headers],0))</f>
        <v>42000</v>
      </c>
      <c r="W96" s="76">
        <f>INDEX(Product[#All],MATCH(Sales[[#This Row],[Product_ID]],Product[[#All],[Product_ID]],0),MATCH("List_Price",Product[#Headers],0))</f>
        <v>52000</v>
      </c>
      <c r="X96" s="78">
        <f>Sales[[#This Row],[Quantity]]*(Sales[[#This Row],[List_Price]]*(1-Sales[[#This Row],[Discount]]))</f>
        <v>327600</v>
      </c>
      <c r="Y96" s="150">
        <f>Sales[[#This Row],[Profit]]/Sales[[#This Row],[Cost_Amount]]</f>
        <v>0.11428571428571428</v>
      </c>
    </row>
    <row r="97" spans="1:25" x14ac:dyDescent="0.25">
      <c r="A97" s="17" t="s">
        <v>273</v>
      </c>
      <c r="B97" s="6">
        <v>45739</v>
      </c>
      <c r="C97" s="100">
        <f>MONTH(Sales[[#This Row],[Sale_Date]])</f>
        <v>3</v>
      </c>
      <c r="D97" s="100" t="str">
        <f t="shared" si="1"/>
        <v>March</v>
      </c>
      <c r="E97" s="4" t="s">
        <v>274</v>
      </c>
      <c r="F97" s="4" t="s">
        <v>234</v>
      </c>
      <c r="G97" s="4" t="s">
        <v>78</v>
      </c>
      <c r="H97" s="7">
        <v>3</v>
      </c>
      <c r="I97" s="40">
        <v>0</v>
      </c>
      <c r="J97" s="7">
        <v>27000</v>
      </c>
      <c r="K97" s="33">
        <v>19500</v>
      </c>
      <c r="L97" s="7">
        <v>7500</v>
      </c>
      <c r="M97" s="4" t="s">
        <v>63</v>
      </c>
      <c r="N97" s="18" t="s">
        <v>122</v>
      </c>
      <c r="O97" t="s">
        <v>519</v>
      </c>
      <c r="P97" t="s">
        <v>520</v>
      </c>
      <c r="Q97" t="s">
        <v>444</v>
      </c>
      <c r="R97" t="s">
        <v>398</v>
      </c>
      <c r="S97" t="s">
        <v>402</v>
      </c>
      <c r="T97" t="s">
        <v>465</v>
      </c>
      <c r="U97" t="str">
        <f>INDEX(Product[#All],MATCH(Sales[[#This Row],[Product_ID]],Product[[#All],[Product_ID]],0),MATCH(Sales[[#Headers],[Category]],Product[#Headers],0))</f>
        <v>Office</v>
      </c>
      <c r="V97" s="76">
        <f>INDEX(Product[#All],MATCH(Sales[[#This Row],[Product_ID]],Product[[#All],[Product_ID]],0),MATCH(Sales[[#Headers],[Unit_Cost]],Product[#Headers],0))</f>
        <v>6500</v>
      </c>
      <c r="W97" s="76">
        <f>INDEX(Product[#All],MATCH(Sales[[#This Row],[Product_ID]],Product[[#All],[Product_ID]],0),MATCH("List_Price",Product[#Headers],0))</f>
        <v>9000</v>
      </c>
      <c r="X97" s="78">
        <f>Sales[[#This Row],[Quantity]]*(Sales[[#This Row],[List_Price]]*(1-Sales[[#This Row],[Discount]]))</f>
        <v>27000</v>
      </c>
      <c r="Y97" s="150">
        <f>Sales[[#This Row],[Profit]]/Sales[[#This Row],[Cost_Amount]]</f>
        <v>0.38461538461538464</v>
      </c>
    </row>
    <row r="98" spans="1:25" x14ac:dyDescent="0.25">
      <c r="A98" s="17" t="s">
        <v>275</v>
      </c>
      <c r="B98" s="6">
        <v>45738</v>
      </c>
      <c r="C98" s="100">
        <f>MONTH(Sales[[#This Row],[Sale_Date]])</f>
        <v>3</v>
      </c>
      <c r="D98" s="100" t="str">
        <f t="shared" si="1"/>
        <v>March</v>
      </c>
      <c r="E98" s="4" t="s">
        <v>276</v>
      </c>
      <c r="F98" s="4" t="s">
        <v>115</v>
      </c>
      <c r="G98" s="4" t="s">
        <v>81</v>
      </c>
      <c r="H98" s="7">
        <v>12</v>
      </c>
      <c r="I98" s="40">
        <v>0.12</v>
      </c>
      <c r="J98" s="7">
        <v>95040</v>
      </c>
      <c r="K98" s="33">
        <v>78000</v>
      </c>
      <c r="L98" s="7">
        <v>17040</v>
      </c>
      <c r="M98" s="4" t="s">
        <v>44</v>
      </c>
      <c r="N98" s="18" t="s">
        <v>35</v>
      </c>
      <c r="O98" t="s">
        <v>588</v>
      </c>
      <c r="P98" t="s">
        <v>579</v>
      </c>
      <c r="Q98" t="s">
        <v>443</v>
      </c>
      <c r="R98" t="s">
        <v>394</v>
      </c>
      <c r="S98" t="s">
        <v>395</v>
      </c>
      <c r="T98" t="s">
        <v>470</v>
      </c>
      <c r="U98" t="str">
        <f>INDEX(Product[#All],MATCH(Sales[[#This Row],[Product_ID]],Product[[#All],[Product_ID]],0),MATCH(Sales[[#Headers],[Category]],Product[#Headers],0))</f>
        <v>IT Equipment</v>
      </c>
      <c r="V98" s="76">
        <f>INDEX(Product[#All],MATCH(Sales[[#This Row],[Product_ID]],Product[[#All],[Product_ID]],0),MATCH(Sales[[#Headers],[Unit_Cost]],Product[#Headers],0))</f>
        <v>6500</v>
      </c>
      <c r="W98" s="76">
        <f>INDEX(Product[#All],MATCH(Sales[[#This Row],[Product_ID]],Product[[#All],[Product_ID]],0),MATCH("List_Price",Product[#Headers],0))</f>
        <v>9000</v>
      </c>
      <c r="X98" s="78">
        <f>Sales[[#This Row],[Quantity]]*(Sales[[#This Row],[List_Price]]*(1-Sales[[#This Row],[Discount]]))</f>
        <v>95040</v>
      </c>
      <c r="Y98" s="150">
        <f>Sales[[#This Row],[Profit]]/Sales[[#This Row],[Cost_Amount]]</f>
        <v>0.21846153846153846</v>
      </c>
    </row>
    <row r="99" spans="1:25" x14ac:dyDescent="0.25">
      <c r="A99" s="17" t="s">
        <v>277</v>
      </c>
      <c r="B99" s="6">
        <v>45750</v>
      </c>
      <c r="C99" s="100">
        <f>MONTH(Sales[[#This Row],[Sale_Date]])</f>
        <v>4</v>
      </c>
      <c r="D99" s="100" t="str">
        <f t="shared" si="1"/>
        <v>April</v>
      </c>
      <c r="E99" s="4" t="s">
        <v>278</v>
      </c>
      <c r="F99" s="4" t="s">
        <v>88</v>
      </c>
      <c r="G99" s="4" t="s">
        <v>95</v>
      </c>
      <c r="H99" s="7">
        <v>14</v>
      </c>
      <c r="I99" s="40">
        <v>0.03</v>
      </c>
      <c r="J99" s="7">
        <v>706160</v>
      </c>
      <c r="K99" s="33">
        <v>588000</v>
      </c>
      <c r="L99" s="7">
        <v>118160</v>
      </c>
      <c r="M99" s="4" t="s">
        <v>44</v>
      </c>
      <c r="N99" s="18" t="s">
        <v>45</v>
      </c>
      <c r="O99" t="s">
        <v>555</v>
      </c>
      <c r="P99" t="s">
        <v>547</v>
      </c>
      <c r="Q99" t="s">
        <v>442</v>
      </c>
      <c r="R99" t="s">
        <v>409</v>
      </c>
      <c r="S99" t="s">
        <v>402</v>
      </c>
      <c r="T99" t="s">
        <v>455</v>
      </c>
      <c r="U99" t="str">
        <f>INDEX(Product[#All],MATCH(Sales[[#This Row],[Product_ID]],Product[[#All],[Product_ID]],0),MATCH(Sales[[#Headers],[Category]],Product[#Headers],0))</f>
        <v>IT Equipment</v>
      </c>
      <c r="V99" s="76">
        <f>INDEX(Product[#All],MATCH(Sales[[#This Row],[Product_ID]],Product[[#All],[Product_ID]],0),MATCH(Sales[[#Headers],[Unit_Cost]],Product[#Headers],0))</f>
        <v>42000</v>
      </c>
      <c r="W99" s="76">
        <f>INDEX(Product[#All],MATCH(Sales[[#This Row],[Product_ID]],Product[[#All],[Product_ID]],0),MATCH("List_Price",Product[#Headers],0))</f>
        <v>52000</v>
      </c>
      <c r="X99" s="78">
        <f>Sales[[#This Row],[Quantity]]*(Sales[[#This Row],[List_Price]]*(1-Sales[[#This Row],[Discount]]))</f>
        <v>706160</v>
      </c>
      <c r="Y99" s="150">
        <f>Sales[[#This Row],[Profit]]/Sales[[#This Row],[Cost_Amount]]</f>
        <v>0.20095238095238097</v>
      </c>
    </row>
    <row r="100" spans="1:25" x14ac:dyDescent="0.25">
      <c r="A100" s="17" t="s">
        <v>279</v>
      </c>
      <c r="B100" s="6">
        <v>45799</v>
      </c>
      <c r="C100" s="100">
        <f>MONTH(Sales[[#This Row],[Sale_Date]])</f>
        <v>5</v>
      </c>
      <c r="D100" s="100" t="str">
        <f t="shared" si="1"/>
        <v>May</v>
      </c>
      <c r="E100" s="4" t="s">
        <v>184</v>
      </c>
      <c r="F100" s="4" t="s">
        <v>234</v>
      </c>
      <c r="G100" s="4" t="s">
        <v>49</v>
      </c>
      <c r="H100" s="7">
        <v>10</v>
      </c>
      <c r="I100" s="40">
        <v>0.05</v>
      </c>
      <c r="J100" s="7">
        <v>45600</v>
      </c>
      <c r="K100" s="33">
        <v>32000</v>
      </c>
      <c r="L100" s="7">
        <v>13600</v>
      </c>
      <c r="M100" s="4" t="s">
        <v>63</v>
      </c>
      <c r="N100" s="18" t="s">
        <v>35</v>
      </c>
      <c r="O100" t="s">
        <v>499</v>
      </c>
      <c r="P100" t="s">
        <v>485</v>
      </c>
      <c r="Q100" t="s">
        <v>444</v>
      </c>
      <c r="R100" t="s">
        <v>398</v>
      </c>
      <c r="S100" t="s">
        <v>402</v>
      </c>
      <c r="T100" t="s">
        <v>472</v>
      </c>
      <c r="U100" t="str">
        <f>INDEX(Product[#All],MATCH(Sales[[#This Row],[Product_ID]],Product[[#All],[Product_ID]],0),MATCH(Sales[[#Headers],[Category]],Product[#Headers],0))</f>
        <v>IT Equipment</v>
      </c>
      <c r="V100" s="76">
        <f>INDEX(Product[#All],MATCH(Sales[[#This Row],[Product_ID]],Product[[#All],[Product_ID]],0),MATCH(Sales[[#Headers],[Unit_Cost]],Product[#Headers],0))</f>
        <v>3200</v>
      </c>
      <c r="W100" s="76">
        <f>INDEX(Product[#All],MATCH(Sales[[#This Row],[Product_ID]],Product[[#All],[Product_ID]],0),MATCH("List_Price",Product[#Headers],0))</f>
        <v>4800</v>
      </c>
      <c r="X100" s="78">
        <f>Sales[[#This Row],[Quantity]]*(Sales[[#This Row],[List_Price]]*(1-Sales[[#This Row],[Discount]]))</f>
        <v>45600</v>
      </c>
      <c r="Y100" s="150">
        <f>Sales[[#This Row],[Profit]]/Sales[[#This Row],[Cost_Amount]]</f>
        <v>0.42499999999999999</v>
      </c>
    </row>
    <row r="101" spans="1:25" x14ac:dyDescent="0.25">
      <c r="A101" s="17" t="s">
        <v>280</v>
      </c>
      <c r="B101" s="6">
        <v>45708</v>
      </c>
      <c r="C101" s="100">
        <f>MONTH(Sales[[#This Row],[Sale_Date]])</f>
        <v>2</v>
      </c>
      <c r="D101" s="100" t="str">
        <f t="shared" si="1"/>
        <v>February</v>
      </c>
      <c r="E101" s="4" t="s">
        <v>281</v>
      </c>
      <c r="F101" s="4" t="s">
        <v>136</v>
      </c>
      <c r="G101" s="4" t="s">
        <v>71</v>
      </c>
      <c r="H101" s="7">
        <v>5</v>
      </c>
      <c r="I101" s="40">
        <v>0.08</v>
      </c>
      <c r="J101" s="7">
        <v>33120</v>
      </c>
      <c r="K101" s="33">
        <v>24000</v>
      </c>
      <c r="L101" s="7">
        <v>9120</v>
      </c>
      <c r="M101" s="4" t="s">
        <v>34</v>
      </c>
      <c r="N101" s="18" t="s">
        <v>35</v>
      </c>
      <c r="O101" t="s">
        <v>571</v>
      </c>
      <c r="P101" t="s">
        <v>478</v>
      </c>
      <c r="Q101" t="s">
        <v>418</v>
      </c>
      <c r="R101" t="s">
        <v>398</v>
      </c>
      <c r="S101" t="s">
        <v>402</v>
      </c>
      <c r="T101" t="s">
        <v>462</v>
      </c>
      <c r="U101" t="str">
        <f>INDEX(Product[#All],MATCH(Sales[[#This Row],[Product_ID]],Product[[#All],[Product_ID]],0),MATCH(Sales[[#Headers],[Category]],Product[#Headers],0))</f>
        <v>Office</v>
      </c>
      <c r="V101" s="76">
        <f>INDEX(Product[#All],MATCH(Sales[[#This Row],[Product_ID]],Product[[#All],[Product_ID]],0),MATCH(Sales[[#Headers],[Unit_Cost]],Product[#Headers],0))</f>
        <v>4800</v>
      </c>
      <c r="W101" s="76">
        <f>INDEX(Product[#All],MATCH(Sales[[#This Row],[Product_ID]],Product[[#All],[Product_ID]],0),MATCH("List_Price",Product[#Headers],0))</f>
        <v>7200</v>
      </c>
      <c r="X101" s="78">
        <f>Sales[[#This Row],[Quantity]]*(Sales[[#This Row],[List_Price]]*(1-Sales[[#This Row],[Discount]]))</f>
        <v>33120</v>
      </c>
      <c r="Y101" s="150">
        <f>Sales[[#This Row],[Profit]]/Sales[[#This Row],[Cost_Amount]]</f>
        <v>0.38</v>
      </c>
    </row>
    <row r="102" spans="1:25" x14ac:dyDescent="0.25">
      <c r="A102" s="17" t="s">
        <v>282</v>
      </c>
      <c r="B102" s="6">
        <v>45665</v>
      </c>
      <c r="C102" s="100">
        <f>MONTH(Sales[[#This Row],[Sale_Date]])</f>
        <v>1</v>
      </c>
      <c r="D102" s="100" t="str">
        <f t="shared" si="1"/>
        <v>January</v>
      </c>
      <c r="E102" s="4" t="s">
        <v>132</v>
      </c>
      <c r="F102" s="4" t="s">
        <v>151</v>
      </c>
      <c r="G102" s="4" t="s">
        <v>78</v>
      </c>
      <c r="H102" s="7">
        <v>17</v>
      </c>
      <c r="I102" s="40">
        <v>0.1</v>
      </c>
      <c r="J102" s="7">
        <v>137700</v>
      </c>
      <c r="K102" s="33">
        <v>110500</v>
      </c>
      <c r="L102" s="7">
        <v>27200</v>
      </c>
      <c r="M102" s="4" t="s">
        <v>63</v>
      </c>
      <c r="N102" s="18" t="s">
        <v>35</v>
      </c>
      <c r="O102" t="s">
        <v>577</v>
      </c>
      <c r="P102" t="s">
        <v>478</v>
      </c>
      <c r="Q102" t="s">
        <v>408</v>
      </c>
      <c r="R102" t="s">
        <v>409</v>
      </c>
      <c r="S102" t="s">
        <v>395</v>
      </c>
      <c r="T102" t="s">
        <v>465</v>
      </c>
      <c r="U102" t="str">
        <f>INDEX(Product[#All],MATCH(Sales[[#This Row],[Product_ID]],Product[[#All],[Product_ID]],0),MATCH(Sales[[#Headers],[Category]],Product[#Headers],0))</f>
        <v>Office</v>
      </c>
      <c r="V102" s="76">
        <f>INDEX(Product[#All],MATCH(Sales[[#This Row],[Product_ID]],Product[[#All],[Product_ID]],0),MATCH(Sales[[#Headers],[Unit_Cost]],Product[#Headers],0))</f>
        <v>6500</v>
      </c>
      <c r="W102" s="76">
        <f>INDEX(Product[#All],MATCH(Sales[[#This Row],[Product_ID]],Product[[#All],[Product_ID]],0),MATCH("List_Price",Product[#Headers],0))</f>
        <v>9000</v>
      </c>
      <c r="X102" s="78">
        <f>Sales[[#This Row],[Quantity]]*(Sales[[#This Row],[List_Price]]*(1-Sales[[#This Row],[Discount]]))</f>
        <v>137700</v>
      </c>
      <c r="Y102" s="150">
        <f>Sales[[#This Row],[Profit]]/Sales[[#This Row],[Cost_Amount]]</f>
        <v>0.24615384615384617</v>
      </c>
    </row>
    <row r="103" spans="1:25" x14ac:dyDescent="0.25">
      <c r="A103" s="17" t="s">
        <v>283</v>
      </c>
      <c r="B103" s="6">
        <v>45797</v>
      </c>
      <c r="C103" s="100">
        <f>MONTH(Sales[[#This Row],[Sale_Date]])</f>
        <v>5</v>
      </c>
      <c r="D103" s="100" t="str">
        <f t="shared" si="1"/>
        <v>May</v>
      </c>
      <c r="E103" s="4" t="s">
        <v>147</v>
      </c>
      <c r="F103" s="4" t="s">
        <v>262</v>
      </c>
      <c r="G103" s="4" t="s">
        <v>116</v>
      </c>
      <c r="H103" s="7">
        <v>18</v>
      </c>
      <c r="I103" s="40">
        <v>0.03</v>
      </c>
      <c r="J103" s="7">
        <v>209520</v>
      </c>
      <c r="K103" s="33">
        <v>153000</v>
      </c>
      <c r="L103" s="7">
        <v>56520</v>
      </c>
      <c r="M103" s="4" t="s">
        <v>39</v>
      </c>
      <c r="N103" s="18" t="s">
        <v>35</v>
      </c>
      <c r="O103" t="s">
        <v>493</v>
      </c>
      <c r="P103" t="s">
        <v>485</v>
      </c>
      <c r="Q103" t="s">
        <v>403</v>
      </c>
      <c r="R103" t="s">
        <v>394</v>
      </c>
      <c r="S103" t="s">
        <v>399</v>
      </c>
      <c r="T103" t="s">
        <v>458</v>
      </c>
      <c r="U103" t="str">
        <f>INDEX(Product[#All],MATCH(Sales[[#This Row],[Product_ID]],Product[[#All],[Product_ID]],0),MATCH(Sales[[#Headers],[Category]],Product[#Headers],0))</f>
        <v>IT Equipment</v>
      </c>
      <c r="V103" s="76">
        <f>INDEX(Product[#All],MATCH(Sales[[#This Row],[Product_ID]],Product[[#All],[Product_ID]],0),MATCH(Sales[[#Headers],[Unit_Cost]],Product[#Headers],0))</f>
        <v>8500</v>
      </c>
      <c r="W103" s="76">
        <f>INDEX(Product[#All],MATCH(Sales[[#This Row],[Product_ID]],Product[[#All],[Product_ID]],0),MATCH("List_Price",Product[#Headers],0))</f>
        <v>12000</v>
      </c>
      <c r="X103" s="78">
        <f>Sales[[#This Row],[Quantity]]*(Sales[[#This Row],[List_Price]]*(1-Sales[[#This Row],[Discount]]))</f>
        <v>209520</v>
      </c>
      <c r="Y103" s="150">
        <f>Sales[[#This Row],[Profit]]/Sales[[#This Row],[Cost_Amount]]</f>
        <v>0.36941176470588233</v>
      </c>
    </row>
    <row r="104" spans="1:25" x14ac:dyDescent="0.25">
      <c r="A104" s="17" t="s">
        <v>284</v>
      </c>
      <c r="B104" s="6">
        <v>45808</v>
      </c>
      <c r="C104" s="100">
        <f>MONTH(Sales[[#This Row],[Sale_Date]])</f>
        <v>5</v>
      </c>
      <c r="D104" s="100" t="str">
        <f t="shared" si="1"/>
        <v>May</v>
      </c>
      <c r="E104" s="4" t="s">
        <v>47</v>
      </c>
      <c r="F104" s="4" t="s">
        <v>136</v>
      </c>
      <c r="G104" s="4" t="s">
        <v>95</v>
      </c>
      <c r="H104" s="7">
        <v>8</v>
      </c>
      <c r="I104" s="40">
        <v>0.12</v>
      </c>
      <c r="J104" s="7">
        <v>366080</v>
      </c>
      <c r="K104" s="33">
        <v>336000</v>
      </c>
      <c r="L104" s="7">
        <v>30080</v>
      </c>
      <c r="M104" s="4" t="s">
        <v>34</v>
      </c>
      <c r="N104" s="18" t="s">
        <v>122</v>
      </c>
      <c r="O104" t="s">
        <v>581</v>
      </c>
      <c r="P104" t="s">
        <v>579</v>
      </c>
      <c r="Q104" t="s">
        <v>418</v>
      </c>
      <c r="R104" t="s">
        <v>398</v>
      </c>
      <c r="S104" t="s">
        <v>402</v>
      </c>
      <c r="T104" t="s">
        <v>455</v>
      </c>
      <c r="U104" t="str">
        <f>INDEX(Product[#All],MATCH(Sales[[#This Row],[Product_ID]],Product[[#All],[Product_ID]],0),MATCH(Sales[[#Headers],[Category]],Product[#Headers],0))</f>
        <v>IT Equipment</v>
      </c>
      <c r="V104" s="76">
        <f>INDEX(Product[#All],MATCH(Sales[[#This Row],[Product_ID]],Product[[#All],[Product_ID]],0),MATCH(Sales[[#Headers],[Unit_Cost]],Product[#Headers],0))</f>
        <v>42000</v>
      </c>
      <c r="W104" s="76">
        <f>INDEX(Product[#All],MATCH(Sales[[#This Row],[Product_ID]],Product[[#All],[Product_ID]],0),MATCH("List_Price",Product[#Headers],0))</f>
        <v>52000</v>
      </c>
      <c r="X104" s="78">
        <f>Sales[[#This Row],[Quantity]]*(Sales[[#This Row],[List_Price]]*(1-Sales[[#This Row],[Discount]]))</f>
        <v>366080</v>
      </c>
      <c r="Y104" s="150">
        <f>Sales[[#This Row],[Profit]]/Sales[[#This Row],[Cost_Amount]]</f>
        <v>8.9523809523809519E-2</v>
      </c>
    </row>
    <row r="105" spans="1:25" x14ac:dyDescent="0.25">
      <c r="A105" s="17" t="s">
        <v>285</v>
      </c>
      <c r="B105" s="6">
        <v>45660</v>
      </c>
      <c r="C105" s="100">
        <f>MONTH(Sales[[#This Row],[Sale_Date]])</f>
        <v>1</v>
      </c>
      <c r="D105" s="100" t="str">
        <f t="shared" si="1"/>
        <v>January</v>
      </c>
      <c r="E105" s="4" t="s">
        <v>168</v>
      </c>
      <c r="F105" s="4" t="s">
        <v>142</v>
      </c>
      <c r="G105" s="4" t="s">
        <v>99</v>
      </c>
      <c r="H105" s="7">
        <v>12</v>
      </c>
      <c r="I105" s="40">
        <v>0.08</v>
      </c>
      <c r="J105" s="7">
        <v>419520</v>
      </c>
      <c r="K105" s="33">
        <v>360000</v>
      </c>
      <c r="L105" s="7">
        <v>59520</v>
      </c>
      <c r="M105" s="4" t="s">
        <v>102</v>
      </c>
      <c r="N105" s="18" t="s">
        <v>122</v>
      </c>
      <c r="O105" t="s">
        <v>510</v>
      </c>
      <c r="P105" t="s">
        <v>485</v>
      </c>
      <c r="Q105" t="s">
        <v>441</v>
      </c>
      <c r="R105" t="s">
        <v>398</v>
      </c>
      <c r="S105" t="s">
        <v>399</v>
      </c>
      <c r="T105" t="s">
        <v>457</v>
      </c>
      <c r="U105" t="str">
        <f>INDEX(Product[#All],MATCH(Sales[[#This Row],[Product_ID]],Product[[#All],[Product_ID]],0),MATCH(Sales[[#Headers],[Category]],Product[#Headers],0))</f>
        <v>IT Equipment</v>
      </c>
      <c r="V105" s="76">
        <f>INDEX(Product[#All],MATCH(Sales[[#This Row],[Product_ID]],Product[[#All],[Product_ID]],0),MATCH(Sales[[#Headers],[Unit_Cost]],Product[#Headers],0))</f>
        <v>30000</v>
      </c>
      <c r="W105" s="76">
        <f>INDEX(Product[#All],MATCH(Sales[[#This Row],[Product_ID]],Product[[#All],[Product_ID]],0),MATCH("List_Price",Product[#Headers],0))</f>
        <v>38000</v>
      </c>
      <c r="X105" s="78">
        <f>Sales[[#This Row],[Quantity]]*(Sales[[#This Row],[List_Price]]*(1-Sales[[#This Row],[Discount]]))</f>
        <v>419520</v>
      </c>
      <c r="Y105" s="150">
        <f>Sales[[#This Row],[Profit]]/Sales[[#This Row],[Cost_Amount]]</f>
        <v>0.16533333333333333</v>
      </c>
    </row>
    <row r="106" spans="1:25" x14ac:dyDescent="0.25">
      <c r="A106" s="17" t="s">
        <v>286</v>
      </c>
      <c r="B106" s="6">
        <v>45772</v>
      </c>
      <c r="C106" s="100">
        <f>MONTH(Sales[[#This Row],[Sale_Date]])</f>
        <v>4</v>
      </c>
      <c r="D106" s="100" t="str">
        <f t="shared" si="1"/>
        <v>April</v>
      </c>
      <c r="E106" s="4" t="s">
        <v>287</v>
      </c>
      <c r="F106" s="4" t="s">
        <v>209</v>
      </c>
      <c r="G106" s="4" t="s">
        <v>121</v>
      </c>
      <c r="H106" s="7">
        <v>17</v>
      </c>
      <c r="I106" s="40">
        <v>0</v>
      </c>
      <c r="J106" s="7">
        <v>61200</v>
      </c>
      <c r="K106" s="33">
        <v>40800</v>
      </c>
      <c r="L106" s="7">
        <v>20400</v>
      </c>
      <c r="M106" s="4" t="s">
        <v>102</v>
      </c>
      <c r="N106" s="18" t="s">
        <v>35</v>
      </c>
      <c r="O106" t="s">
        <v>521</v>
      </c>
      <c r="P106" t="s">
        <v>520</v>
      </c>
      <c r="Q106" t="s">
        <v>425</v>
      </c>
      <c r="R106" t="s">
        <v>394</v>
      </c>
      <c r="S106" t="s">
        <v>395</v>
      </c>
      <c r="T106" t="s">
        <v>476</v>
      </c>
      <c r="U106" t="str">
        <f>INDEX(Product[#All],MATCH(Sales[[#This Row],[Product_ID]],Product[[#All],[Product_ID]],0),MATCH(Sales[[#Headers],[Category]],Product[#Headers],0))</f>
        <v>IT Equipment</v>
      </c>
      <c r="V106" s="76">
        <f>INDEX(Product[#All],MATCH(Sales[[#This Row],[Product_ID]],Product[[#All],[Product_ID]],0),MATCH(Sales[[#Headers],[Unit_Cost]],Product[#Headers],0))</f>
        <v>2400</v>
      </c>
      <c r="W106" s="76">
        <f>INDEX(Product[#All],MATCH(Sales[[#This Row],[Product_ID]],Product[[#All],[Product_ID]],0),MATCH("List_Price",Product[#Headers],0))</f>
        <v>3600</v>
      </c>
      <c r="X106" s="78">
        <f>Sales[[#This Row],[Quantity]]*(Sales[[#This Row],[List_Price]]*(1-Sales[[#This Row],[Discount]]))</f>
        <v>61200</v>
      </c>
      <c r="Y106" s="150">
        <f>Sales[[#This Row],[Profit]]/Sales[[#This Row],[Cost_Amount]]</f>
        <v>0.5</v>
      </c>
    </row>
    <row r="107" spans="1:25" x14ac:dyDescent="0.25">
      <c r="A107" s="17" t="s">
        <v>288</v>
      </c>
      <c r="B107" s="6">
        <v>45668</v>
      </c>
      <c r="C107" s="100">
        <f>MONTH(Sales[[#This Row],[Sale_Date]])</f>
        <v>1</v>
      </c>
      <c r="D107" s="100" t="str">
        <f t="shared" si="1"/>
        <v>January</v>
      </c>
      <c r="E107" s="4" t="s">
        <v>139</v>
      </c>
      <c r="F107" s="4" t="s">
        <v>42</v>
      </c>
      <c r="G107" s="4" t="s">
        <v>43</v>
      </c>
      <c r="H107" s="7">
        <v>16</v>
      </c>
      <c r="I107" s="40">
        <v>0.03</v>
      </c>
      <c r="J107" s="7">
        <v>29488</v>
      </c>
      <c r="K107" s="33">
        <v>19200</v>
      </c>
      <c r="L107" s="7">
        <v>10288</v>
      </c>
      <c r="M107" s="4" t="s">
        <v>44</v>
      </c>
      <c r="N107" s="18" t="s">
        <v>35</v>
      </c>
      <c r="O107" t="s">
        <v>553</v>
      </c>
      <c r="P107" t="s">
        <v>547</v>
      </c>
      <c r="Q107" t="s">
        <v>440</v>
      </c>
      <c r="R107" t="s">
        <v>394</v>
      </c>
      <c r="S107" t="s">
        <v>395</v>
      </c>
      <c r="T107" t="s">
        <v>468</v>
      </c>
      <c r="U107" t="str">
        <f>INDEX(Product[#All],MATCH(Sales[[#This Row],[Product_ID]],Product[[#All],[Product_ID]],0),MATCH(Sales[[#Headers],[Category]],Product[#Headers],0))</f>
        <v>Accessories</v>
      </c>
      <c r="V107" s="76">
        <f>INDEX(Product[#All],MATCH(Sales[[#This Row],[Product_ID]],Product[[#All],[Product_ID]],0),MATCH(Sales[[#Headers],[Unit_Cost]],Product[#Headers],0))</f>
        <v>1200</v>
      </c>
      <c r="W107" s="76">
        <f>INDEX(Product[#All],MATCH(Sales[[#This Row],[Product_ID]],Product[[#All],[Product_ID]],0),MATCH("List_Price",Product[#Headers],0))</f>
        <v>1900</v>
      </c>
      <c r="X107" s="78">
        <f>Sales[[#This Row],[Quantity]]*(Sales[[#This Row],[List_Price]]*(1-Sales[[#This Row],[Discount]]))</f>
        <v>29488</v>
      </c>
      <c r="Y107" s="150">
        <f>Sales[[#This Row],[Profit]]/Sales[[#This Row],[Cost_Amount]]</f>
        <v>0.53583333333333338</v>
      </c>
    </row>
    <row r="108" spans="1:25" x14ac:dyDescent="0.25">
      <c r="A108" s="17" t="s">
        <v>289</v>
      </c>
      <c r="B108" s="6">
        <v>45750</v>
      </c>
      <c r="C108" s="100">
        <f>MONTH(Sales[[#This Row],[Sale_Date]])</f>
        <v>4</v>
      </c>
      <c r="D108" s="100" t="str">
        <f t="shared" si="1"/>
        <v>April</v>
      </c>
      <c r="E108" s="4" t="s">
        <v>290</v>
      </c>
      <c r="F108" s="4" t="s">
        <v>84</v>
      </c>
      <c r="G108" s="4" t="s">
        <v>121</v>
      </c>
      <c r="H108" s="7">
        <v>7</v>
      </c>
      <c r="I108" s="40">
        <v>0.08</v>
      </c>
      <c r="J108" s="7">
        <v>23184</v>
      </c>
      <c r="K108" s="33">
        <v>16800</v>
      </c>
      <c r="L108" s="7">
        <v>6384</v>
      </c>
      <c r="M108" s="4" t="s">
        <v>44</v>
      </c>
      <c r="N108" s="18" t="s">
        <v>35</v>
      </c>
      <c r="O108" t="s">
        <v>528</v>
      </c>
      <c r="P108" t="s">
        <v>520</v>
      </c>
      <c r="Q108" t="s">
        <v>439</v>
      </c>
      <c r="R108" t="s">
        <v>409</v>
      </c>
      <c r="S108" t="s">
        <v>395</v>
      </c>
      <c r="T108" t="s">
        <v>476</v>
      </c>
      <c r="U108" t="str">
        <f>INDEX(Product[#All],MATCH(Sales[[#This Row],[Product_ID]],Product[[#All],[Product_ID]],0),MATCH(Sales[[#Headers],[Category]],Product[#Headers],0))</f>
        <v>IT Equipment</v>
      </c>
      <c r="V108" s="76">
        <f>INDEX(Product[#All],MATCH(Sales[[#This Row],[Product_ID]],Product[[#All],[Product_ID]],0),MATCH(Sales[[#Headers],[Unit_Cost]],Product[#Headers],0))</f>
        <v>2400</v>
      </c>
      <c r="W108" s="76">
        <f>INDEX(Product[#All],MATCH(Sales[[#This Row],[Product_ID]],Product[[#All],[Product_ID]],0),MATCH("List_Price",Product[#Headers],0))</f>
        <v>3600</v>
      </c>
      <c r="X108" s="78">
        <f>Sales[[#This Row],[Quantity]]*(Sales[[#This Row],[List_Price]]*(1-Sales[[#This Row],[Discount]]))</f>
        <v>23184</v>
      </c>
      <c r="Y108" s="150">
        <f>Sales[[#This Row],[Profit]]/Sales[[#This Row],[Cost_Amount]]</f>
        <v>0.38</v>
      </c>
    </row>
    <row r="109" spans="1:25" x14ac:dyDescent="0.25">
      <c r="A109" s="17" t="s">
        <v>291</v>
      </c>
      <c r="B109" s="6">
        <v>45838</v>
      </c>
      <c r="C109" s="100">
        <f>MONTH(Sales[[#This Row],[Sale_Date]])</f>
        <v>6</v>
      </c>
      <c r="D109" s="100" t="str">
        <f t="shared" si="1"/>
        <v>June</v>
      </c>
      <c r="E109" s="4" t="s">
        <v>160</v>
      </c>
      <c r="F109" s="4" t="s">
        <v>219</v>
      </c>
      <c r="G109" s="4" t="s">
        <v>116</v>
      </c>
      <c r="H109" s="7">
        <v>11</v>
      </c>
      <c r="I109" s="40">
        <v>0</v>
      </c>
      <c r="J109" s="7">
        <v>132000</v>
      </c>
      <c r="K109" s="33">
        <v>93500</v>
      </c>
      <c r="L109" s="7">
        <v>38500</v>
      </c>
      <c r="M109" s="4" t="s">
        <v>63</v>
      </c>
      <c r="N109" s="18" t="s">
        <v>35</v>
      </c>
      <c r="O109" t="s">
        <v>501</v>
      </c>
      <c r="P109" t="s">
        <v>485</v>
      </c>
      <c r="Q109" t="s">
        <v>416</v>
      </c>
      <c r="R109" t="s">
        <v>409</v>
      </c>
      <c r="S109" t="s">
        <v>399</v>
      </c>
      <c r="T109" t="s">
        <v>458</v>
      </c>
      <c r="U109" t="str">
        <f>INDEX(Product[#All],MATCH(Sales[[#This Row],[Product_ID]],Product[[#All],[Product_ID]],0),MATCH(Sales[[#Headers],[Category]],Product[#Headers],0))</f>
        <v>IT Equipment</v>
      </c>
      <c r="V109" s="76">
        <f>INDEX(Product[#All],MATCH(Sales[[#This Row],[Product_ID]],Product[[#All],[Product_ID]],0),MATCH(Sales[[#Headers],[Unit_Cost]],Product[#Headers],0))</f>
        <v>8500</v>
      </c>
      <c r="W109" s="76">
        <f>INDEX(Product[#All],MATCH(Sales[[#This Row],[Product_ID]],Product[[#All],[Product_ID]],0),MATCH("List_Price",Product[#Headers],0))</f>
        <v>12000</v>
      </c>
      <c r="X109" s="78">
        <f>Sales[[#This Row],[Quantity]]*(Sales[[#This Row],[List_Price]]*(1-Sales[[#This Row],[Discount]]))</f>
        <v>132000</v>
      </c>
      <c r="Y109" s="150">
        <f>Sales[[#This Row],[Profit]]/Sales[[#This Row],[Cost_Amount]]</f>
        <v>0.41176470588235292</v>
      </c>
    </row>
    <row r="110" spans="1:25" x14ac:dyDescent="0.25">
      <c r="A110" s="17" t="s">
        <v>292</v>
      </c>
      <c r="B110" s="6">
        <v>45825</v>
      </c>
      <c r="C110" s="100">
        <f>MONTH(Sales[[#This Row],[Sale_Date]])</f>
        <v>6</v>
      </c>
      <c r="D110" s="100" t="str">
        <f t="shared" si="1"/>
        <v>June</v>
      </c>
      <c r="E110" s="4" t="s">
        <v>177</v>
      </c>
      <c r="F110" s="4" t="s">
        <v>56</v>
      </c>
      <c r="G110" s="4" t="s">
        <v>95</v>
      </c>
      <c r="H110" s="7">
        <v>6</v>
      </c>
      <c r="I110" s="40">
        <v>0.05</v>
      </c>
      <c r="J110" s="7">
        <v>296400</v>
      </c>
      <c r="K110" s="33">
        <v>252000</v>
      </c>
      <c r="L110" s="7">
        <v>44400</v>
      </c>
      <c r="M110" s="4" t="s">
        <v>63</v>
      </c>
      <c r="N110" s="18" t="s">
        <v>35</v>
      </c>
      <c r="O110" t="s">
        <v>570</v>
      </c>
      <c r="P110" t="s">
        <v>478</v>
      </c>
      <c r="Q110" t="s">
        <v>417</v>
      </c>
      <c r="R110" t="s">
        <v>398</v>
      </c>
      <c r="S110" t="s">
        <v>399</v>
      </c>
      <c r="T110" t="s">
        <v>455</v>
      </c>
      <c r="U110" t="str">
        <f>INDEX(Product[#All],MATCH(Sales[[#This Row],[Product_ID]],Product[[#All],[Product_ID]],0),MATCH(Sales[[#Headers],[Category]],Product[#Headers],0))</f>
        <v>IT Equipment</v>
      </c>
      <c r="V110" s="76">
        <f>INDEX(Product[#All],MATCH(Sales[[#This Row],[Product_ID]],Product[[#All],[Product_ID]],0),MATCH(Sales[[#Headers],[Unit_Cost]],Product[#Headers],0))</f>
        <v>42000</v>
      </c>
      <c r="W110" s="76">
        <f>INDEX(Product[#All],MATCH(Sales[[#This Row],[Product_ID]],Product[[#All],[Product_ID]],0),MATCH("List_Price",Product[#Headers],0))</f>
        <v>52000</v>
      </c>
      <c r="X110" s="78">
        <f>Sales[[#This Row],[Quantity]]*(Sales[[#This Row],[List_Price]]*(1-Sales[[#This Row],[Discount]]))</f>
        <v>296400</v>
      </c>
      <c r="Y110" s="150">
        <f>Sales[[#This Row],[Profit]]/Sales[[#This Row],[Cost_Amount]]</f>
        <v>0.1761904761904762</v>
      </c>
    </row>
    <row r="111" spans="1:25" x14ac:dyDescent="0.25">
      <c r="A111" s="17" t="s">
        <v>293</v>
      </c>
      <c r="B111" s="6">
        <v>45790</v>
      </c>
      <c r="C111" s="100">
        <f>MONTH(Sales[[#This Row],[Sale_Date]])</f>
        <v>5</v>
      </c>
      <c r="D111" s="100" t="str">
        <f t="shared" si="1"/>
        <v>May</v>
      </c>
      <c r="E111" s="4" t="s">
        <v>239</v>
      </c>
      <c r="F111" s="4" t="s">
        <v>48</v>
      </c>
      <c r="G111" s="4" t="s">
        <v>195</v>
      </c>
      <c r="H111" s="7">
        <v>13</v>
      </c>
      <c r="I111" s="40">
        <v>0</v>
      </c>
      <c r="J111" s="7">
        <v>14300</v>
      </c>
      <c r="K111" s="33">
        <v>8450</v>
      </c>
      <c r="L111" s="7">
        <v>5850</v>
      </c>
      <c r="M111" s="4" t="s">
        <v>44</v>
      </c>
      <c r="N111" s="18" t="s">
        <v>45</v>
      </c>
      <c r="O111" t="s">
        <v>568</v>
      </c>
      <c r="P111" t="s">
        <v>478</v>
      </c>
      <c r="Q111" t="s">
        <v>424</v>
      </c>
      <c r="R111" t="s">
        <v>398</v>
      </c>
      <c r="S111" t="s">
        <v>402</v>
      </c>
      <c r="T111" t="s">
        <v>461</v>
      </c>
      <c r="U111" t="str">
        <f>INDEX(Product[#All],MATCH(Sales[[#This Row],[Product_ID]],Product[[#All],[Product_ID]],0),MATCH(Sales[[#Headers],[Category]],Product[#Headers],0))</f>
        <v>Accessories</v>
      </c>
      <c r="V111" s="76">
        <f>INDEX(Product[#All],MATCH(Sales[[#This Row],[Product_ID]],Product[[#All],[Product_ID]],0),MATCH(Sales[[#Headers],[Unit_Cost]],Product[#Headers],0))</f>
        <v>650</v>
      </c>
      <c r="W111" s="76">
        <f>INDEX(Product[#All],MATCH(Sales[[#This Row],[Product_ID]],Product[[#All],[Product_ID]],0),MATCH("List_Price",Product[#Headers],0))</f>
        <v>1100</v>
      </c>
      <c r="X111" s="78">
        <f>Sales[[#This Row],[Quantity]]*(Sales[[#This Row],[List_Price]]*(1-Sales[[#This Row],[Discount]]))</f>
        <v>14300</v>
      </c>
      <c r="Y111" s="150">
        <f>Sales[[#This Row],[Profit]]/Sales[[#This Row],[Cost_Amount]]</f>
        <v>0.69230769230769229</v>
      </c>
    </row>
    <row r="112" spans="1:25" x14ac:dyDescent="0.25">
      <c r="A112" s="17" t="s">
        <v>295</v>
      </c>
      <c r="B112" s="6">
        <v>45693</v>
      </c>
      <c r="C112" s="100">
        <f>MONTH(Sales[[#This Row],[Sale_Date]])</f>
        <v>2</v>
      </c>
      <c r="D112" s="100" t="str">
        <f t="shared" si="1"/>
        <v>February</v>
      </c>
      <c r="E112" s="4" t="s">
        <v>119</v>
      </c>
      <c r="F112" s="4" t="s">
        <v>241</v>
      </c>
      <c r="G112" s="4" t="s">
        <v>71</v>
      </c>
      <c r="H112" s="7">
        <v>1</v>
      </c>
      <c r="I112" s="40">
        <v>0.08</v>
      </c>
      <c r="J112" s="7">
        <v>6624</v>
      </c>
      <c r="K112" s="33">
        <v>4800</v>
      </c>
      <c r="L112" s="7">
        <v>1824</v>
      </c>
      <c r="M112" s="4" t="s">
        <v>63</v>
      </c>
      <c r="N112" s="18" t="s">
        <v>35</v>
      </c>
      <c r="O112" t="s">
        <v>566</v>
      </c>
      <c r="P112" t="s">
        <v>478</v>
      </c>
      <c r="Q112" t="s">
        <v>432</v>
      </c>
      <c r="R112" t="s">
        <v>398</v>
      </c>
      <c r="S112" t="s">
        <v>399</v>
      </c>
      <c r="T112" t="s">
        <v>462</v>
      </c>
      <c r="U112" t="str">
        <f>INDEX(Product[#All],MATCH(Sales[[#This Row],[Product_ID]],Product[[#All],[Product_ID]],0),MATCH(Sales[[#Headers],[Category]],Product[#Headers],0))</f>
        <v>Office</v>
      </c>
      <c r="V112" s="76">
        <f>INDEX(Product[#All],MATCH(Sales[[#This Row],[Product_ID]],Product[[#All],[Product_ID]],0),MATCH(Sales[[#Headers],[Unit_Cost]],Product[#Headers],0))</f>
        <v>4800</v>
      </c>
      <c r="W112" s="76">
        <f>INDEX(Product[#All],MATCH(Sales[[#This Row],[Product_ID]],Product[[#All],[Product_ID]],0),MATCH("List_Price",Product[#Headers],0))</f>
        <v>7200</v>
      </c>
      <c r="X112" s="78">
        <f>Sales[[#This Row],[Quantity]]*(Sales[[#This Row],[List_Price]]*(1-Sales[[#This Row],[Discount]]))</f>
        <v>6624</v>
      </c>
      <c r="Y112" s="150">
        <f>Sales[[#This Row],[Profit]]/Sales[[#This Row],[Cost_Amount]]</f>
        <v>0.38</v>
      </c>
    </row>
    <row r="113" spans="1:25" x14ac:dyDescent="0.25">
      <c r="A113" s="17" t="s">
        <v>296</v>
      </c>
      <c r="B113" s="6">
        <v>45750</v>
      </c>
      <c r="C113" s="100">
        <f>MONTH(Sales[[#This Row],[Sale_Date]])</f>
        <v>4</v>
      </c>
      <c r="D113" s="100" t="str">
        <f t="shared" si="1"/>
        <v>April</v>
      </c>
      <c r="E113" s="4" t="s">
        <v>65</v>
      </c>
      <c r="F113" s="4" t="s">
        <v>94</v>
      </c>
      <c r="G113" s="4" t="s">
        <v>162</v>
      </c>
      <c r="H113" s="7">
        <v>6</v>
      </c>
      <c r="I113" s="40">
        <v>0</v>
      </c>
      <c r="J113" s="7">
        <v>96000</v>
      </c>
      <c r="K113" s="33">
        <v>69000</v>
      </c>
      <c r="L113" s="7">
        <v>27000</v>
      </c>
      <c r="M113" s="4" t="s">
        <v>63</v>
      </c>
      <c r="N113" s="18" t="s">
        <v>45</v>
      </c>
      <c r="O113" t="s">
        <v>498</v>
      </c>
      <c r="P113" t="s">
        <v>485</v>
      </c>
      <c r="Q113" t="s">
        <v>435</v>
      </c>
      <c r="R113" t="s">
        <v>398</v>
      </c>
      <c r="S113" t="s">
        <v>399</v>
      </c>
      <c r="T113" t="s">
        <v>471</v>
      </c>
      <c r="U113" t="str">
        <f>INDEX(Product[#All],MATCH(Sales[[#This Row],[Product_ID]],Product[[#All],[Product_ID]],0),MATCH(Sales[[#Headers],[Category]],Product[#Headers],0))</f>
        <v>Office</v>
      </c>
      <c r="V113" s="76">
        <f>INDEX(Product[#All],MATCH(Sales[[#This Row],[Product_ID]],Product[[#All],[Product_ID]],0),MATCH(Sales[[#Headers],[Unit_Cost]],Product[#Headers],0))</f>
        <v>11500</v>
      </c>
      <c r="W113" s="76">
        <f>INDEX(Product[#All],MATCH(Sales[[#This Row],[Product_ID]],Product[[#All],[Product_ID]],0),MATCH("List_Price",Product[#Headers],0))</f>
        <v>16000</v>
      </c>
      <c r="X113" s="78">
        <f>Sales[[#This Row],[Quantity]]*(Sales[[#This Row],[List_Price]]*(1-Sales[[#This Row],[Discount]]))</f>
        <v>96000</v>
      </c>
      <c r="Y113" s="150">
        <f>Sales[[#This Row],[Profit]]/Sales[[#This Row],[Cost_Amount]]</f>
        <v>0.39130434782608697</v>
      </c>
    </row>
    <row r="114" spans="1:25" x14ac:dyDescent="0.25">
      <c r="A114" s="17" t="s">
        <v>297</v>
      </c>
      <c r="B114" s="6">
        <v>45830</v>
      </c>
      <c r="C114" s="100">
        <f>MONTH(Sales[[#This Row],[Sale_Date]])</f>
        <v>6</v>
      </c>
      <c r="D114" s="100" t="str">
        <f t="shared" si="1"/>
        <v>June</v>
      </c>
      <c r="E114" s="4" t="s">
        <v>160</v>
      </c>
      <c r="F114" s="4" t="s">
        <v>166</v>
      </c>
      <c r="G114" s="4" t="s">
        <v>67</v>
      </c>
      <c r="H114" s="7">
        <v>4</v>
      </c>
      <c r="I114" s="40">
        <v>0.05</v>
      </c>
      <c r="J114" s="7">
        <v>25840</v>
      </c>
      <c r="K114" s="33">
        <v>18000</v>
      </c>
      <c r="L114" s="7">
        <v>7840</v>
      </c>
      <c r="M114" s="4" t="s">
        <v>34</v>
      </c>
      <c r="N114" s="18" t="s">
        <v>740</v>
      </c>
      <c r="O114" t="s">
        <v>501</v>
      </c>
      <c r="P114" t="s">
        <v>485</v>
      </c>
      <c r="Q114" t="s">
        <v>414</v>
      </c>
      <c r="R114" t="s">
        <v>394</v>
      </c>
      <c r="S114" t="s">
        <v>399</v>
      </c>
      <c r="T114" t="s">
        <v>466</v>
      </c>
      <c r="U114" t="str">
        <f>INDEX(Product[#All],MATCH(Sales[[#This Row],[Product_ID]],Product[[#All],[Product_ID]],0),MATCH(Sales[[#Headers],[Category]],Product[#Headers],0))</f>
        <v>IT Equipment</v>
      </c>
      <c r="V114" s="76">
        <f>INDEX(Product[#All],MATCH(Sales[[#This Row],[Product_ID]],Product[[#All],[Product_ID]],0),MATCH(Sales[[#Headers],[Unit_Cost]],Product[#Headers],0))</f>
        <v>4500</v>
      </c>
      <c r="W114" s="76">
        <f>INDEX(Product[#All],MATCH(Sales[[#This Row],[Product_ID]],Product[[#All],[Product_ID]],0),MATCH("List_Price",Product[#Headers],0))</f>
        <v>6800</v>
      </c>
      <c r="X114" s="78">
        <f>Sales[[#This Row],[Quantity]]*(Sales[[#This Row],[List_Price]]*(1-Sales[[#This Row],[Discount]]))</f>
        <v>25840</v>
      </c>
      <c r="Y114" s="150">
        <f>Sales[[#This Row],[Profit]]/Sales[[#This Row],[Cost_Amount]]</f>
        <v>0.43555555555555553</v>
      </c>
    </row>
    <row r="115" spans="1:25" x14ac:dyDescent="0.25">
      <c r="A115" s="17" t="s">
        <v>298</v>
      </c>
      <c r="B115" s="6">
        <v>45804</v>
      </c>
      <c r="C115" s="100">
        <f>MONTH(Sales[[#This Row],[Sale_Date]])</f>
        <v>5</v>
      </c>
      <c r="D115" s="100" t="str">
        <f t="shared" si="1"/>
        <v>May</v>
      </c>
      <c r="E115" s="4" t="s">
        <v>299</v>
      </c>
      <c r="F115" s="4" t="s">
        <v>166</v>
      </c>
      <c r="G115" s="4" t="s">
        <v>145</v>
      </c>
      <c r="H115" s="7">
        <v>2</v>
      </c>
      <c r="I115" s="40">
        <v>0</v>
      </c>
      <c r="J115" s="7">
        <v>5000</v>
      </c>
      <c r="K115" s="33">
        <v>3200</v>
      </c>
      <c r="L115" s="7">
        <v>1800</v>
      </c>
      <c r="M115" s="4" t="s">
        <v>34</v>
      </c>
      <c r="N115" s="18" t="s">
        <v>122</v>
      </c>
      <c r="O115" t="s">
        <v>505</v>
      </c>
      <c r="P115" t="s">
        <v>485</v>
      </c>
      <c r="Q115" t="s">
        <v>414</v>
      </c>
      <c r="R115" t="s">
        <v>394</v>
      </c>
      <c r="S115" t="s">
        <v>399</v>
      </c>
      <c r="T115" t="s">
        <v>469</v>
      </c>
      <c r="U115" t="str">
        <f>INDEX(Product[#All],MATCH(Sales[[#This Row],[Product_ID]],Product[[#All],[Product_ID]],0),MATCH(Sales[[#Headers],[Category]],Product[#Headers],0))</f>
        <v>Accessories</v>
      </c>
      <c r="V115" s="76">
        <f>INDEX(Product[#All],MATCH(Sales[[#This Row],[Product_ID]],Product[[#All],[Product_ID]],0),MATCH(Sales[[#Headers],[Unit_Cost]],Product[#Headers],0))</f>
        <v>1600</v>
      </c>
      <c r="W115" s="76">
        <f>INDEX(Product[#All],MATCH(Sales[[#This Row],[Product_ID]],Product[[#All],[Product_ID]],0),MATCH("List_Price",Product[#Headers],0))</f>
        <v>2500</v>
      </c>
      <c r="X115" s="78">
        <f>Sales[[#This Row],[Quantity]]*(Sales[[#This Row],[List_Price]]*(1-Sales[[#This Row],[Discount]]))</f>
        <v>5000</v>
      </c>
      <c r="Y115" s="150">
        <f>Sales[[#This Row],[Profit]]/Sales[[#This Row],[Cost_Amount]]</f>
        <v>0.5625</v>
      </c>
    </row>
    <row r="116" spans="1:25" x14ac:dyDescent="0.25">
      <c r="A116" s="17" t="s">
        <v>300</v>
      </c>
      <c r="B116" s="6">
        <v>45704</v>
      </c>
      <c r="C116" s="100">
        <f>MONTH(Sales[[#This Row],[Sale_Date]])</f>
        <v>2</v>
      </c>
      <c r="D116" s="100" t="str">
        <f t="shared" si="1"/>
        <v>February</v>
      </c>
      <c r="E116" s="4" t="s">
        <v>177</v>
      </c>
      <c r="F116" s="4" t="s">
        <v>144</v>
      </c>
      <c r="G116" s="4" t="s">
        <v>78</v>
      </c>
      <c r="H116" s="7">
        <v>6</v>
      </c>
      <c r="I116" s="40">
        <v>0.03</v>
      </c>
      <c r="J116" s="7">
        <v>52380</v>
      </c>
      <c r="K116" s="33">
        <v>39000</v>
      </c>
      <c r="L116" s="7">
        <v>13380</v>
      </c>
      <c r="M116" s="4" t="s">
        <v>63</v>
      </c>
      <c r="N116" s="18" t="s">
        <v>35</v>
      </c>
      <c r="O116" t="s">
        <v>570</v>
      </c>
      <c r="P116" t="s">
        <v>478</v>
      </c>
      <c r="Q116" t="s">
        <v>447</v>
      </c>
      <c r="R116" t="s">
        <v>398</v>
      </c>
      <c r="S116" t="s">
        <v>402</v>
      </c>
      <c r="T116" t="s">
        <v>465</v>
      </c>
      <c r="U116" t="str">
        <f>INDEX(Product[#All],MATCH(Sales[[#This Row],[Product_ID]],Product[[#All],[Product_ID]],0),MATCH(Sales[[#Headers],[Category]],Product[#Headers],0))</f>
        <v>Office</v>
      </c>
      <c r="V116" s="76">
        <f>INDEX(Product[#All],MATCH(Sales[[#This Row],[Product_ID]],Product[[#All],[Product_ID]],0),MATCH(Sales[[#Headers],[Unit_Cost]],Product[#Headers],0))</f>
        <v>6500</v>
      </c>
      <c r="W116" s="76">
        <f>INDEX(Product[#All],MATCH(Sales[[#This Row],[Product_ID]],Product[[#All],[Product_ID]],0),MATCH("List_Price",Product[#Headers],0))</f>
        <v>9000</v>
      </c>
      <c r="X116" s="78">
        <f>Sales[[#This Row],[Quantity]]*(Sales[[#This Row],[List_Price]]*(1-Sales[[#This Row],[Discount]]))</f>
        <v>52380</v>
      </c>
      <c r="Y116" s="150">
        <f>Sales[[#This Row],[Profit]]/Sales[[#This Row],[Cost_Amount]]</f>
        <v>0.34307692307692306</v>
      </c>
    </row>
    <row r="117" spans="1:25" x14ac:dyDescent="0.25">
      <c r="A117" s="17" t="s">
        <v>301</v>
      </c>
      <c r="B117" s="6">
        <v>45713</v>
      </c>
      <c r="C117" s="100">
        <f>MONTH(Sales[[#This Row],[Sale_Date]])</f>
        <v>2</v>
      </c>
      <c r="D117" s="100" t="str">
        <f t="shared" si="1"/>
        <v>February</v>
      </c>
      <c r="E117" s="4" t="s">
        <v>278</v>
      </c>
      <c r="F117" s="4" t="s">
        <v>38</v>
      </c>
      <c r="G117" s="4" t="s">
        <v>81</v>
      </c>
      <c r="H117" s="7">
        <v>10</v>
      </c>
      <c r="I117" s="40">
        <v>0</v>
      </c>
      <c r="J117" s="7">
        <v>90000</v>
      </c>
      <c r="K117" s="33">
        <v>65000</v>
      </c>
      <c r="L117" s="7">
        <v>25000</v>
      </c>
      <c r="M117" s="4" t="s">
        <v>39</v>
      </c>
      <c r="N117" s="18" t="s">
        <v>35</v>
      </c>
      <c r="O117" t="s">
        <v>555</v>
      </c>
      <c r="P117" t="s">
        <v>547</v>
      </c>
      <c r="Q117" t="s">
        <v>427</v>
      </c>
      <c r="R117" t="s">
        <v>398</v>
      </c>
      <c r="S117" t="s">
        <v>399</v>
      </c>
      <c r="T117" t="s">
        <v>470</v>
      </c>
      <c r="U117" t="str">
        <f>INDEX(Product[#All],MATCH(Sales[[#This Row],[Product_ID]],Product[[#All],[Product_ID]],0),MATCH(Sales[[#Headers],[Category]],Product[#Headers],0))</f>
        <v>IT Equipment</v>
      </c>
      <c r="V117" s="76">
        <f>INDEX(Product[#All],MATCH(Sales[[#This Row],[Product_ID]],Product[[#All],[Product_ID]],0),MATCH(Sales[[#Headers],[Unit_Cost]],Product[#Headers],0))</f>
        <v>6500</v>
      </c>
      <c r="W117" s="76">
        <f>INDEX(Product[#All],MATCH(Sales[[#This Row],[Product_ID]],Product[[#All],[Product_ID]],0),MATCH("List_Price",Product[#Headers],0))</f>
        <v>9000</v>
      </c>
      <c r="X117" s="78">
        <f>Sales[[#This Row],[Quantity]]*(Sales[[#This Row],[List_Price]]*(1-Sales[[#This Row],[Discount]]))</f>
        <v>90000</v>
      </c>
      <c r="Y117" s="150">
        <f>Sales[[#This Row],[Profit]]/Sales[[#This Row],[Cost_Amount]]</f>
        <v>0.38461538461538464</v>
      </c>
    </row>
    <row r="118" spans="1:25" x14ac:dyDescent="0.25">
      <c r="A118" s="17" t="s">
        <v>302</v>
      </c>
      <c r="B118" s="6">
        <v>45694</v>
      </c>
      <c r="C118" s="100">
        <f>MONTH(Sales[[#This Row],[Sale_Date]])</f>
        <v>2</v>
      </c>
      <c r="D118" s="100" t="str">
        <f t="shared" si="1"/>
        <v>February</v>
      </c>
      <c r="E118" s="4" t="s">
        <v>205</v>
      </c>
      <c r="F118" s="4" t="s">
        <v>262</v>
      </c>
      <c r="G118" s="4" t="s">
        <v>121</v>
      </c>
      <c r="H118" s="7">
        <v>14</v>
      </c>
      <c r="I118" s="40">
        <v>0.08</v>
      </c>
      <c r="J118" s="7">
        <v>46368</v>
      </c>
      <c r="K118" s="33">
        <v>33600</v>
      </c>
      <c r="L118" s="7">
        <v>12768</v>
      </c>
      <c r="M118" s="4" t="s">
        <v>39</v>
      </c>
      <c r="N118" s="18" t="s">
        <v>122</v>
      </c>
      <c r="O118" t="s">
        <v>563</v>
      </c>
      <c r="P118" t="s">
        <v>478</v>
      </c>
      <c r="Q118" t="s">
        <v>403</v>
      </c>
      <c r="R118" t="s">
        <v>394</v>
      </c>
      <c r="S118" t="s">
        <v>399</v>
      </c>
      <c r="T118" t="s">
        <v>476</v>
      </c>
      <c r="U118" t="str">
        <f>INDEX(Product[#All],MATCH(Sales[[#This Row],[Product_ID]],Product[[#All],[Product_ID]],0),MATCH(Sales[[#Headers],[Category]],Product[#Headers],0))</f>
        <v>IT Equipment</v>
      </c>
      <c r="V118" s="76">
        <f>INDEX(Product[#All],MATCH(Sales[[#This Row],[Product_ID]],Product[[#All],[Product_ID]],0),MATCH(Sales[[#Headers],[Unit_Cost]],Product[#Headers],0))</f>
        <v>2400</v>
      </c>
      <c r="W118" s="76">
        <f>INDEX(Product[#All],MATCH(Sales[[#This Row],[Product_ID]],Product[[#All],[Product_ID]],0),MATCH("List_Price",Product[#Headers],0))</f>
        <v>3600</v>
      </c>
      <c r="X118" s="78">
        <f>Sales[[#This Row],[Quantity]]*(Sales[[#This Row],[List_Price]]*(1-Sales[[#This Row],[Discount]]))</f>
        <v>46368</v>
      </c>
      <c r="Y118" s="150">
        <f>Sales[[#This Row],[Profit]]/Sales[[#This Row],[Cost_Amount]]</f>
        <v>0.38</v>
      </c>
    </row>
    <row r="119" spans="1:25" x14ac:dyDescent="0.25">
      <c r="A119" s="17" t="s">
        <v>303</v>
      </c>
      <c r="B119" s="6">
        <v>45810</v>
      </c>
      <c r="C119" s="100">
        <f>MONTH(Sales[[#This Row],[Sale_Date]])</f>
        <v>6</v>
      </c>
      <c r="D119" s="100" t="str">
        <f t="shared" si="1"/>
        <v>June</v>
      </c>
      <c r="E119" s="4" t="s">
        <v>290</v>
      </c>
      <c r="F119" s="4" t="s">
        <v>185</v>
      </c>
      <c r="G119" s="4" t="s">
        <v>195</v>
      </c>
      <c r="H119" s="7">
        <v>11</v>
      </c>
      <c r="I119" s="40">
        <v>0.05</v>
      </c>
      <c r="J119" s="7">
        <v>11495</v>
      </c>
      <c r="K119" s="33">
        <v>7150</v>
      </c>
      <c r="L119" s="7">
        <v>4345</v>
      </c>
      <c r="M119" s="4" t="s">
        <v>102</v>
      </c>
      <c r="N119" s="18" t="s">
        <v>740</v>
      </c>
      <c r="O119" t="s">
        <v>528</v>
      </c>
      <c r="P119" t="s">
        <v>520</v>
      </c>
      <c r="Q119" t="s">
        <v>448</v>
      </c>
      <c r="R119" t="s">
        <v>394</v>
      </c>
      <c r="S119" t="s">
        <v>402</v>
      </c>
      <c r="T119" t="s">
        <v>461</v>
      </c>
      <c r="U119" t="str">
        <f>INDEX(Product[#All],MATCH(Sales[[#This Row],[Product_ID]],Product[[#All],[Product_ID]],0),MATCH(Sales[[#Headers],[Category]],Product[#Headers],0))</f>
        <v>Accessories</v>
      </c>
      <c r="V119" s="76">
        <f>INDEX(Product[#All],MATCH(Sales[[#This Row],[Product_ID]],Product[[#All],[Product_ID]],0),MATCH(Sales[[#Headers],[Unit_Cost]],Product[#Headers],0))</f>
        <v>650</v>
      </c>
      <c r="W119" s="76">
        <f>INDEX(Product[#All],MATCH(Sales[[#This Row],[Product_ID]],Product[[#All],[Product_ID]],0),MATCH("List_Price",Product[#Headers],0))</f>
        <v>1100</v>
      </c>
      <c r="X119" s="78">
        <f>Sales[[#This Row],[Quantity]]*(Sales[[#This Row],[List_Price]]*(1-Sales[[#This Row],[Discount]]))</f>
        <v>11495</v>
      </c>
      <c r="Y119" s="150">
        <f>Sales[[#This Row],[Profit]]/Sales[[#This Row],[Cost_Amount]]</f>
        <v>0.60769230769230764</v>
      </c>
    </row>
    <row r="120" spans="1:25" x14ac:dyDescent="0.25">
      <c r="A120" s="17" t="s">
        <v>304</v>
      </c>
      <c r="B120" s="6">
        <v>45787</v>
      </c>
      <c r="C120" s="100">
        <f>MONTH(Sales[[#This Row],[Sale_Date]])</f>
        <v>5</v>
      </c>
      <c r="D120" s="100" t="str">
        <f t="shared" si="1"/>
        <v>May</v>
      </c>
      <c r="E120" s="4" t="s">
        <v>230</v>
      </c>
      <c r="F120" s="4" t="s">
        <v>305</v>
      </c>
      <c r="G120" s="4" t="s">
        <v>95</v>
      </c>
      <c r="H120" s="7">
        <v>17</v>
      </c>
      <c r="I120" s="40">
        <v>0.12</v>
      </c>
      <c r="J120" s="7">
        <v>777920</v>
      </c>
      <c r="K120" s="33">
        <v>714000</v>
      </c>
      <c r="L120" s="7">
        <v>63920</v>
      </c>
      <c r="M120" s="4" t="s">
        <v>34</v>
      </c>
      <c r="N120" s="18" t="s">
        <v>35</v>
      </c>
      <c r="O120" t="s">
        <v>559</v>
      </c>
      <c r="P120" t="s">
        <v>478</v>
      </c>
      <c r="Q120" t="s">
        <v>413</v>
      </c>
      <c r="R120" t="s">
        <v>398</v>
      </c>
      <c r="S120" t="s">
        <v>399</v>
      </c>
      <c r="T120" t="s">
        <v>455</v>
      </c>
      <c r="U120" t="str">
        <f>INDEX(Product[#All],MATCH(Sales[[#This Row],[Product_ID]],Product[[#All],[Product_ID]],0),MATCH(Sales[[#Headers],[Category]],Product[#Headers],0))</f>
        <v>IT Equipment</v>
      </c>
      <c r="V120" s="76">
        <f>INDEX(Product[#All],MATCH(Sales[[#This Row],[Product_ID]],Product[[#All],[Product_ID]],0),MATCH(Sales[[#Headers],[Unit_Cost]],Product[#Headers],0))</f>
        <v>42000</v>
      </c>
      <c r="W120" s="76">
        <f>INDEX(Product[#All],MATCH(Sales[[#This Row],[Product_ID]],Product[[#All],[Product_ID]],0),MATCH("List_Price",Product[#Headers],0))</f>
        <v>52000</v>
      </c>
      <c r="X120" s="78">
        <f>Sales[[#This Row],[Quantity]]*(Sales[[#This Row],[List_Price]]*(1-Sales[[#This Row],[Discount]]))</f>
        <v>777920</v>
      </c>
      <c r="Y120" s="150">
        <f>Sales[[#This Row],[Profit]]/Sales[[#This Row],[Cost_Amount]]</f>
        <v>8.9523809523809519E-2</v>
      </c>
    </row>
    <row r="121" spans="1:25" x14ac:dyDescent="0.25">
      <c r="A121" s="17" t="s">
        <v>306</v>
      </c>
      <c r="B121" s="6">
        <v>45794</v>
      </c>
      <c r="C121" s="100">
        <f>MONTH(Sales[[#This Row],[Sale_Date]])</f>
        <v>5</v>
      </c>
      <c r="D121" s="100" t="str">
        <f t="shared" si="1"/>
        <v>May</v>
      </c>
      <c r="E121" s="4" t="s">
        <v>307</v>
      </c>
      <c r="F121" s="4" t="s">
        <v>52</v>
      </c>
      <c r="G121" s="4" t="s">
        <v>116</v>
      </c>
      <c r="H121" s="7">
        <v>2</v>
      </c>
      <c r="I121" s="40">
        <v>0.12</v>
      </c>
      <c r="J121" s="7">
        <v>21120</v>
      </c>
      <c r="K121" s="33">
        <v>17000</v>
      </c>
      <c r="L121" s="7">
        <v>4120</v>
      </c>
      <c r="M121" s="4" t="s">
        <v>39</v>
      </c>
      <c r="N121" s="18" t="s">
        <v>35</v>
      </c>
      <c r="O121" t="s">
        <v>537</v>
      </c>
      <c r="P121" t="s">
        <v>535</v>
      </c>
      <c r="Q121" t="s">
        <v>429</v>
      </c>
      <c r="R121" t="s">
        <v>394</v>
      </c>
      <c r="S121" t="s">
        <v>395</v>
      </c>
      <c r="T121" t="s">
        <v>458</v>
      </c>
      <c r="U121" t="str">
        <f>INDEX(Product[#All],MATCH(Sales[[#This Row],[Product_ID]],Product[[#All],[Product_ID]],0),MATCH(Sales[[#Headers],[Category]],Product[#Headers],0))</f>
        <v>IT Equipment</v>
      </c>
      <c r="V121" s="76">
        <f>INDEX(Product[#All],MATCH(Sales[[#This Row],[Product_ID]],Product[[#All],[Product_ID]],0),MATCH(Sales[[#Headers],[Unit_Cost]],Product[#Headers],0))</f>
        <v>8500</v>
      </c>
      <c r="W121" s="76">
        <f>INDEX(Product[#All],MATCH(Sales[[#This Row],[Product_ID]],Product[[#All],[Product_ID]],0),MATCH("List_Price",Product[#Headers],0))</f>
        <v>12000</v>
      </c>
      <c r="X121" s="78">
        <f>Sales[[#This Row],[Quantity]]*(Sales[[#This Row],[List_Price]]*(1-Sales[[#This Row],[Discount]]))</f>
        <v>21120</v>
      </c>
      <c r="Y121" s="150">
        <f>Sales[[#This Row],[Profit]]/Sales[[#This Row],[Cost_Amount]]</f>
        <v>0.24235294117647058</v>
      </c>
    </row>
    <row r="122" spans="1:25" x14ac:dyDescent="0.25">
      <c r="A122" s="17" t="s">
        <v>308</v>
      </c>
      <c r="B122" s="6">
        <v>45658</v>
      </c>
      <c r="C122" s="100">
        <f>MONTH(Sales[[#This Row],[Sale_Date]])</f>
        <v>1</v>
      </c>
      <c r="D122" s="100" t="str">
        <f t="shared" si="1"/>
        <v>January</v>
      </c>
      <c r="E122" s="4" t="s">
        <v>147</v>
      </c>
      <c r="F122" s="4" t="s">
        <v>98</v>
      </c>
      <c r="G122" s="4" t="s">
        <v>91</v>
      </c>
      <c r="H122" s="7">
        <v>18</v>
      </c>
      <c r="I122" s="40">
        <v>0.12</v>
      </c>
      <c r="J122" s="7">
        <v>53856</v>
      </c>
      <c r="K122" s="33">
        <v>39600</v>
      </c>
      <c r="L122" s="7">
        <v>14256</v>
      </c>
      <c r="M122" s="4" t="s">
        <v>39</v>
      </c>
      <c r="N122" s="18" t="s">
        <v>122</v>
      </c>
      <c r="O122" t="s">
        <v>493</v>
      </c>
      <c r="P122" t="s">
        <v>485</v>
      </c>
      <c r="Q122" t="s">
        <v>428</v>
      </c>
      <c r="R122" t="s">
        <v>409</v>
      </c>
      <c r="S122" t="s">
        <v>399</v>
      </c>
      <c r="T122" t="s">
        <v>467</v>
      </c>
      <c r="U122" t="str">
        <f>INDEX(Product[#All],MATCH(Sales[[#This Row],[Product_ID]],Product[[#All],[Product_ID]],0),MATCH(Sales[[#Headers],[Category]],Product[#Headers],0))</f>
        <v>IT Equipment</v>
      </c>
      <c r="V122" s="76">
        <f>INDEX(Product[#All],MATCH(Sales[[#This Row],[Product_ID]],Product[[#All],[Product_ID]],0),MATCH(Sales[[#Headers],[Unit_Cost]],Product[#Headers],0))</f>
        <v>2200</v>
      </c>
      <c r="W122" s="76">
        <f>INDEX(Product[#All],MATCH(Sales[[#This Row],[Product_ID]],Product[[#All],[Product_ID]],0),MATCH("List_Price",Product[#Headers],0))</f>
        <v>3400</v>
      </c>
      <c r="X122" s="78">
        <f>Sales[[#This Row],[Quantity]]*(Sales[[#This Row],[List_Price]]*(1-Sales[[#This Row],[Discount]]))</f>
        <v>53856</v>
      </c>
      <c r="Y122" s="150">
        <f>Sales[[#This Row],[Profit]]/Sales[[#This Row],[Cost_Amount]]</f>
        <v>0.36</v>
      </c>
    </row>
    <row r="123" spans="1:25" x14ac:dyDescent="0.25">
      <c r="A123" s="17" t="s">
        <v>309</v>
      </c>
      <c r="B123" s="6">
        <v>45793</v>
      </c>
      <c r="C123" s="100">
        <f>MONTH(Sales[[#This Row],[Sale_Date]])</f>
        <v>5</v>
      </c>
      <c r="D123" s="100" t="str">
        <f t="shared" si="1"/>
        <v>May</v>
      </c>
      <c r="E123" s="4" t="s">
        <v>141</v>
      </c>
      <c r="F123" s="4" t="s">
        <v>219</v>
      </c>
      <c r="G123" s="4" t="s">
        <v>121</v>
      </c>
      <c r="H123" s="7">
        <v>2</v>
      </c>
      <c r="I123" s="40">
        <v>0.1</v>
      </c>
      <c r="J123" s="7">
        <v>6480</v>
      </c>
      <c r="K123" s="33">
        <v>4800</v>
      </c>
      <c r="L123" s="7">
        <v>1680</v>
      </c>
      <c r="M123" s="4" t="s">
        <v>63</v>
      </c>
      <c r="N123" s="18" t="s">
        <v>45</v>
      </c>
      <c r="O123" t="s">
        <v>540</v>
      </c>
      <c r="P123" t="s">
        <v>535</v>
      </c>
      <c r="Q123" t="s">
        <v>416</v>
      </c>
      <c r="R123" t="s">
        <v>409</v>
      </c>
      <c r="S123" t="s">
        <v>399</v>
      </c>
      <c r="T123" t="s">
        <v>476</v>
      </c>
      <c r="U123" t="str">
        <f>INDEX(Product[#All],MATCH(Sales[[#This Row],[Product_ID]],Product[[#All],[Product_ID]],0),MATCH(Sales[[#Headers],[Category]],Product[#Headers],0))</f>
        <v>IT Equipment</v>
      </c>
      <c r="V123" s="76">
        <f>INDEX(Product[#All],MATCH(Sales[[#This Row],[Product_ID]],Product[[#All],[Product_ID]],0),MATCH(Sales[[#Headers],[Unit_Cost]],Product[#Headers],0))</f>
        <v>2400</v>
      </c>
      <c r="W123" s="76">
        <f>INDEX(Product[#All],MATCH(Sales[[#This Row],[Product_ID]],Product[[#All],[Product_ID]],0),MATCH("List_Price",Product[#Headers],0))</f>
        <v>3600</v>
      </c>
      <c r="X123" s="78">
        <f>Sales[[#This Row],[Quantity]]*(Sales[[#This Row],[List_Price]]*(1-Sales[[#This Row],[Discount]]))</f>
        <v>6480</v>
      </c>
      <c r="Y123" s="150">
        <f>Sales[[#This Row],[Profit]]/Sales[[#This Row],[Cost_Amount]]</f>
        <v>0.35</v>
      </c>
    </row>
    <row r="124" spans="1:25" x14ac:dyDescent="0.25">
      <c r="A124" s="17" t="s">
        <v>310</v>
      </c>
      <c r="B124" s="6">
        <v>45692</v>
      </c>
      <c r="C124" s="100">
        <f>MONTH(Sales[[#This Row],[Sale_Date]])</f>
        <v>2</v>
      </c>
      <c r="D124" s="100" t="str">
        <f t="shared" si="1"/>
        <v>February</v>
      </c>
      <c r="E124" s="4" t="s">
        <v>139</v>
      </c>
      <c r="F124" s="4" t="s">
        <v>209</v>
      </c>
      <c r="G124" s="4" t="s">
        <v>95</v>
      </c>
      <c r="H124" s="7">
        <v>4</v>
      </c>
      <c r="I124" s="40">
        <v>0.05</v>
      </c>
      <c r="J124" s="7">
        <v>197600</v>
      </c>
      <c r="K124" s="33">
        <v>168000</v>
      </c>
      <c r="L124" s="7">
        <v>29600</v>
      </c>
      <c r="M124" s="4" t="s">
        <v>102</v>
      </c>
      <c r="N124" s="18" t="s">
        <v>35</v>
      </c>
      <c r="O124" t="s">
        <v>553</v>
      </c>
      <c r="P124" t="s">
        <v>547</v>
      </c>
      <c r="Q124" t="s">
        <v>425</v>
      </c>
      <c r="R124" t="s">
        <v>394</v>
      </c>
      <c r="S124" t="s">
        <v>395</v>
      </c>
      <c r="T124" t="s">
        <v>455</v>
      </c>
      <c r="U124" t="str">
        <f>INDEX(Product[#All],MATCH(Sales[[#This Row],[Product_ID]],Product[[#All],[Product_ID]],0),MATCH(Sales[[#Headers],[Category]],Product[#Headers],0))</f>
        <v>IT Equipment</v>
      </c>
      <c r="V124" s="76">
        <f>INDEX(Product[#All],MATCH(Sales[[#This Row],[Product_ID]],Product[[#All],[Product_ID]],0),MATCH(Sales[[#Headers],[Unit_Cost]],Product[#Headers],0))</f>
        <v>42000</v>
      </c>
      <c r="W124" s="76">
        <f>INDEX(Product[#All],MATCH(Sales[[#This Row],[Product_ID]],Product[[#All],[Product_ID]],0),MATCH("List_Price",Product[#Headers],0))</f>
        <v>52000</v>
      </c>
      <c r="X124" s="78">
        <f>Sales[[#This Row],[Quantity]]*(Sales[[#This Row],[List_Price]]*(1-Sales[[#This Row],[Discount]]))</f>
        <v>197600</v>
      </c>
      <c r="Y124" s="150">
        <f>Sales[[#This Row],[Profit]]/Sales[[#This Row],[Cost_Amount]]</f>
        <v>0.1761904761904762</v>
      </c>
    </row>
    <row r="125" spans="1:25" x14ac:dyDescent="0.25">
      <c r="A125" s="17" t="s">
        <v>311</v>
      </c>
      <c r="B125" s="6">
        <v>45723</v>
      </c>
      <c r="C125" s="100">
        <f>MONTH(Sales[[#This Row],[Sale_Date]])</f>
        <v>3</v>
      </c>
      <c r="D125" s="100" t="str">
        <f t="shared" si="1"/>
        <v>March</v>
      </c>
      <c r="E125" s="4" t="s">
        <v>312</v>
      </c>
      <c r="F125" s="4" t="s">
        <v>219</v>
      </c>
      <c r="G125" s="4" t="s">
        <v>99</v>
      </c>
      <c r="H125" s="7">
        <v>18</v>
      </c>
      <c r="I125" s="40">
        <v>0.05</v>
      </c>
      <c r="J125" s="7">
        <v>649800</v>
      </c>
      <c r="K125" s="33">
        <v>540000</v>
      </c>
      <c r="L125" s="7">
        <v>109800</v>
      </c>
      <c r="M125" s="4" t="s">
        <v>63</v>
      </c>
      <c r="N125" s="18" t="s">
        <v>122</v>
      </c>
      <c r="O125" t="s">
        <v>502</v>
      </c>
      <c r="P125" t="s">
        <v>485</v>
      </c>
      <c r="Q125" t="s">
        <v>416</v>
      </c>
      <c r="R125" t="s">
        <v>409</v>
      </c>
      <c r="S125" t="s">
        <v>399</v>
      </c>
      <c r="T125" t="s">
        <v>457</v>
      </c>
      <c r="U125" t="str">
        <f>INDEX(Product[#All],MATCH(Sales[[#This Row],[Product_ID]],Product[[#All],[Product_ID]],0),MATCH(Sales[[#Headers],[Category]],Product[#Headers],0))</f>
        <v>IT Equipment</v>
      </c>
      <c r="V125" s="76">
        <f>INDEX(Product[#All],MATCH(Sales[[#This Row],[Product_ID]],Product[[#All],[Product_ID]],0),MATCH(Sales[[#Headers],[Unit_Cost]],Product[#Headers],0))</f>
        <v>30000</v>
      </c>
      <c r="W125" s="76">
        <f>INDEX(Product[#All],MATCH(Sales[[#This Row],[Product_ID]],Product[[#All],[Product_ID]],0),MATCH("List_Price",Product[#Headers],0))</f>
        <v>38000</v>
      </c>
      <c r="X125" s="78">
        <f>Sales[[#This Row],[Quantity]]*(Sales[[#This Row],[List_Price]]*(1-Sales[[#This Row],[Discount]]))</f>
        <v>649800</v>
      </c>
      <c r="Y125" s="150">
        <f>Sales[[#This Row],[Profit]]/Sales[[#This Row],[Cost_Amount]]</f>
        <v>0.20333333333333334</v>
      </c>
    </row>
    <row r="126" spans="1:25" x14ac:dyDescent="0.25">
      <c r="A126" s="17" t="s">
        <v>313</v>
      </c>
      <c r="B126" s="6">
        <v>45754</v>
      </c>
      <c r="C126" s="100">
        <f>MONTH(Sales[[#This Row],[Sale_Date]])</f>
        <v>4</v>
      </c>
      <c r="D126" s="100" t="str">
        <f t="shared" si="1"/>
        <v>April</v>
      </c>
      <c r="E126" s="4" t="s">
        <v>281</v>
      </c>
      <c r="F126" s="4" t="s">
        <v>314</v>
      </c>
      <c r="G126" s="4" t="s">
        <v>49</v>
      </c>
      <c r="H126" s="7">
        <v>17</v>
      </c>
      <c r="I126" s="40">
        <v>0</v>
      </c>
      <c r="J126" s="7">
        <v>81600</v>
      </c>
      <c r="K126" s="33">
        <v>54400</v>
      </c>
      <c r="L126" s="7">
        <v>27200</v>
      </c>
      <c r="M126" s="4" t="s">
        <v>102</v>
      </c>
      <c r="N126" s="18" t="s">
        <v>35</v>
      </c>
      <c r="O126" t="s">
        <v>571</v>
      </c>
      <c r="P126" t="s">
        <v>478</v>
      </c>
      <c r="Q126" t="s">
        <v>445</v>
      </c>
      <c r="R126" t="s">
        <v>398</v>
      </c>
      <c r="S126" t="s">
        <v>399</v>
      </c>
      <c r="T126" t="s">
        <v>472</v>
      </c>
      <c r="U126" t="str">
        <f>INDEX(Product[#All],MATCH(Sales[[#This Row],[Product_ID]],Product[[#All],[Product_ID]],0),MATCH(Sales[[#Headers],[Category]],Product[#Headers],0))</f>
        <v>IT Equipment</v>
      </c>
      <c r="V126" s="76">
        <f>INDEX(Product[#All],MATCH(Sales[[#This Row],[Product_ID]],Product[[#All],[Product_ID]],0),MATCH(Sales[[#Headers],[Unit_Cost]],Product[#Headers],0))</f>
        <v>3200</v>
      </c>
      <c r="W126" s="76">
        <f>INDEX(Product[#All],MATCH(Sales[[#This Row],[Product_ID]],Product[[#All],[Product_ID]],0),MATCH("List_Price",Product[#Headers],0))</f>
        <v>4800</v>
      </c>
      <c r="X126" s="78">
        <f>Sales[[#This Row],[Quantity]]*(Sales[[#This Row],[List_Price]]*(1-Sales[[#This Row],[Discount]]))</f>
        <v>81600</v>
      </c>
      <c r="Y126" s="150">
        <f>Sales[[#This Row],[Profit]]/Sales[[#This Row],[Cost_Amount]]</f>
        <v>0.5</v>
      </c>
    </row>
    <row r="127" spans="1:25" x14ac:dyDescent="0.25">
      <c r="A127" s="17" t="s">
        <v>315</v>
      </c>
      <c r="B127" s="6">
        <v>45807</v>
      </c>
      <c r="C127" s="100">
        <f>MONTH(Sales[[#This Row],[Sale_Date]])</f>
        <v>5</v>
      </c>
      <c r="D127" s="100" t="str">
        <f t="shared" si="1"/>
        <v>May</v>
      </c>
      <c r="E127" s="4" t="s">
        <v>111</v>
      </c>
      <c r="F127" s="4" t="s">
        <v>227</v>
      </c>
      <c r="G127" s="4" t="s">
        <v>145</v>
      </c>
      <c r="H127" s="7">
        <v>14</v>
      </c>
      <c r="I127" s="40">
        <v>0.1</v>
      </c>
      <c r="J127" s="7">
        <v>31500</v>
      </c>
      <c r="K127" s="33">
        <v>22400</v>
      </c>
      <c r="L127" s="7">
        <v>9100</v>
      </c>
      <c r="M127" s="4" t="s">
        <v>44</v>
      </c>
      <c r="N127" s="18" t="s">
        <v>35</v>
      </c>
      <c r="O127" t="s">
        <v>509</v>
      </c>
      <c r="P127" t="s">
        <v>485</v>
      </c>
      <c r="Q127" t="s">
        <v>401</v>
      </c>
      <c r="R127" t="s">
        <v>398</v>
      </c>
      <c r="S127" t="s">
        <v>402</v>
      </c>
      <c r="T127" t="s">
        <v>469</v>
      </c>
      <c r="U127" t="str">
        <f>INDEX(Product[#All],MATCH(Sales[[#This Row],[Product_ID]],Product[[#All],[Product_ID]],0),MATCH(Sales[[#Headers],[Category]],Product[#Headers],0))</f>
        <v>Accessories</v>
      </c>
      <c r="V127" s="76">
        <f>INDEX(Product[#All],MATCH(Sales[[#This Row],[Product_ID]],Product[[#All],[Product_ID]],0),MATCH(Sales[[#Headers],[Unit_Cost]],Product[#Headers],0))</f>
        <v>1600</v>
      </c>
      <c r="W127" s="76">
        <f>INDEX(Product[#All],MATCH(Sales[[#This Row],[Product_ID]],Product[[#All],[Product_ID]],0),MATCH("List_Price",Product[#Headers],0))</f>
        <v>2500</v>
      </c>
      <c r="X127" s="78">
        <f>Sales[[#This Row],[Quantity]]*(Sales[[#This Row],[List_Price]]*(1-Sales[[#This Row],[Discount]]))</f>
        <v>31500</v>
      </c>
      <c r="Y127" s="150">
        <f>Sales[[#This Row],[Profit]]/Sales[[#This Row],[Cost_Amount]]</f>
        <v>0.40625</v>
      </c>
    </row>
    <row r="128" spans="1:25" x14ac:dyDescent="0.25">
      <c r="A128" s="17" t="s">
        <v>316</v>
      </c>
      <c r="B128" s="6">
        <v>45710</v>
      </c>
      <c r="C128" s="100">
        <f>MONTH(Sales[[#This Row],[Sale_Date]])</f>
        <v>2</v>
      </c>
      <c r="D128" s="100" t="str">
        <f t="shared" si="1"/>
        <v>February</v>
      </c>
      <c r="E128" s="4" t="s">
        <v>160</v>
      </c>
      <c r="F128" s="4" t="s">
        <v>77</v>
      </c>
      <c r="G128" s="4" t="s">
        <v>152</v>
      </c>
      <c r="H128" s="7">
        <v>13</v>
      </c>
      <c r="I128" s="40">
        <v>0.12</v>
      </c>
      <c r="J128" s="7">
        <v>32032</v>
      </c>
      <c r="K128" s="33">
        <v>23400</v>
      </c>
      <c r="L128" s="7">
        <v>8632</v>
      </c>
      <c r="M128" s="4" t="s">
        <v>63</v>
      </c>
      <c r="N128" s="18" t="s">
        <v>35</v>
      </c>
      <c r="O128" t="s">
        <v>501</v>
      </c>
      <c r="P128" t="s">
        <v>485</v>
      </c>
      <c r="Q128" t="s">
        <v>410</v>
      </c>
      <c r="R128" t="s">
        <v>409</v>
      </c>
      <c r="S128" t="s">
        <v>402</v>
      </c>
      <c r="T128" t="s">
        <v>459</v>
      </c>
      <c r="U128" t="str">
        <f>INDEX(Product[#All],MATCH(Sales[[#This Row],[Product_ID]],Product[[#All],[Product_ID]],0),MATCH(Sales[[#Headers],[Category]],Product[#Headers],0))</f>
        <v>Accessories</v>
      </c>
      <c r="V128" s="76">
        <f>INDEX(Product[#All],MATCH(Sales[[#This Row],[Product_ID]],Product[[#All],[Product_ID]],0),MATCH(Sales[[#Headers],[Unit_Cost]],Product[#Headers],0))</f>
        <v>1800</v>
      </c>
      <c r="W128" s="76">
        <f>INDEX(Product[#All],MATCH(Sales[[#This Row],[Product_ID]],Product[[#All],[Product_ID]],0),MATCH("List_Price",Product[#Headers],0))</f>
        <v>2800</v>
      </c>
      <c r="X128" s="78">
        <f>Sales[[#This Row],[Quantity]]*(Sales[[#This Row],[List_Price]]*(1-Sales[[#This Row],[Discount]]))</f>
        <v>32032</v>
      </c>
      <c r="Y128" s="150">
        <f>Sales[[#This Row],[Profit]]/Sales[[#This Row],[Cost_Amount]]</f>
        <v>0.36888888888888888</v>
      </c>
    </row>
    <row r="129" spans="1:25" x14ac:dyDescent="0.25">
      <c r="A129" s="17" t="s">
        <v>317</v>
      </c>
      <c r="B129" s="6">
        <v>45736</v>
      </c>
      <c r="C129" s="100">
        <f>MONTH(Sales[[#This Row],[Sale_Date]])</f>
        <v>3</v>
      </c>
      <c r="D129" s="100" t="str">
        <f t="shared" si="1"/>
        <v>March</v>
      </c>
      <c r="E129" s="4" t="s">
        <v>173</v>
      </c>
      <c r="F129" s="4" t="s">
        <v>120</v>
      </c>
      <c r="G129" s="4" t="s">
        <v>195</v>
      </c>
      <c r="H129" s="7">
        <v>16</v>
      </c>
      <c r="I129" s="40">
        <v>0.03</v>
      </c>
      <c r="J129" s="7">
        <v>17072</v>
      </c>
      <c r="K129" s="33">
        <v>10400</v>
      </c>
      <c r="L129" s="7">
        <v>6672</v>
      </c>
      <c r="M129" s="4" t="s">
        <v>44</v>
      </c>
      <c r="N129" s="18" t="s">
        <v>35</v>
      </c>
      <c r="O129" t="s">
        <v>578</v>
      </c>
      <c r="P129" t="s">
        <v>579</v>
      </c>
      <c r="Q129" t="s">
        <v>419</v>
      </c>
      <c r="R129" t="s">
        <v>394</v>
      </c>
      <c r="S129" t="s">
        <v>402</v>
      </c>
      <c r="T129" t="s">
        <v>461</v>
      </c>
      <c r="U129" t="str">
        <f>INDEX(Product[#All],MATCH(Sales[[#This Row],[Product_ID]],Product[[#All],[Product_ID]],0),MATCH(Sales[[#Headers],[Category]],Product[#Headers],0))</f>
        <v>Accessories</v>
      </c>
      <c r="V129" s="76">
        <f>INDEX(Product[#All],MATCH(Sales[[#This Row],[Product_ID]],Product[[#All],[Product_ID]],0),MATCH(Sales[[#Headers],[Unit_Cost]],Product[#Headers],0))</f>
        <v>650</v>
      </c>
      <c r="W129" s="76">
        <f>INDEX(Product[#All],MATCH(Sales[[#This Row],[Product_ID]],Product[[#All],[Product_ID]],0),MATCH("List_Price",Product[#Headers],0))</f>
        <v>1100</v>
      </c>
      <c r="X129" s="78">
        <f>Sales[[#This Row],[Quantity]]*(Sales[[#This Row],[List_Price]]*(1-Sales[[#This Row],[Discount]]))</f>
        <v>17072</v>
      </c>
      <c r="Y129" s="150">
        <f>Sales[[#This Row],[Profit]]/Sales[[#This Row],[Cost_Amount]]</f>
        <v>0.6415384615384615</v>
      </c>
    </row>
    <row r="130" spans="1:25" x14ac:dyDescent="0.25">
      <c r="A130" s="17" t="s">
        <v>318</v>
      </c>
      <c r="B130" s="6">
        <v>45716</v>
      </c>
      <c r="C130" s="100">
        <f>MONTH(Sales[[#This Row],[Sale_Date]])</f>
        <v>2</v>
      </c>
      <c r="D130" s="100" t="str">
        <f t="shared" si="1"/>
        <v>February</v>
      </c>
      <c r="E130" s="4" t="s">
        <v>221</v>
      </c>
      <c r="F130" s="4" t="s">
        <v>144</v>
      </c>
      <c r="G130" s="4" t="s">
        <v>162</v>
      </c>
      <c r="H130" s="7">
        <v>4</v>
      </c>
      <c r="I130" s="40">
        <v>0.1</v>
      </c>
      <c r="J130" s="7">
        <v>57600</v>
      </c>
      <c r="K130" s="33">
        <v>46000</v>
      </c>
      <c r="L130" s="7">
        <v>11600</v>
      </c>
      <c r="M130" s="4" t="s">
        <v>63</v>
      </c>
      <c r="N130" s="18" t="s">
        <v>35</v>
      </c>
      <c r="O130" t="s">
        <v>503</v>
      </c>
      <c r="P130" t="s">
        <v>485</v>
      </c>
      <c r="Q130" t="s">
        <v>447</v>
      </c>
      <c r="R130" t="s">
        <v>398</v>
      </c>
      <c r="S130" t="s">
        <v>402</v>
      </c>
      <c r="T130" t="s">
        <v>471</v>
      </c>
      <c r="U130" t="str">
        <f>INDEX(Product[#All],MATCH(Sales[[#This Row],[Product_ID]],Product[[#All],[Product_ID]],0),MATCH(Sales[[#Headers],[Category]],Product[#Headers],0))</f>
        <v>Office</v>
      </c>
      <c r="V130" s="76">
        <f>INDEX(Product[#All],MATCH(Sales[[#This Row],[Product_ID]],Product[[#All],[Product_ID]],0),MATCH(Sales[[#Headers],[Unit_Cost]],Product[#Headers],0))</f>
        <v>11500</v>
      </c>
      <c r="W130" s="76">
        <f>INDEX(Product[#All],MATCH(Sales[[#This Row],[Product_ID]],Product[[#All],[Product_ID]],0),MATCH("List_Price",Product[#Headers],0))</f>
        <v>16000</v>
      </c>
      <c r="X130" s="78">
        <f>Sales[[#This Row],[Quantity]]*(Sales[[#This Row],[List_Price]]*(1-Sales[[#This Row],[Discount]]))</f>
        <v>57600</v>
      </c>
      <c r="Y130" s="150">
        <f>Sales[[#This Row],[Profit]]/Sales[[#This Row],[Cost_Amount]]</f>
        <v>0.25217391304347825</v>
      </c>
    </row>
    <row r="131" spans="1:25" x14ac:dyDescent="0.25">
      <c r="A131" s="17" t="s">
        <v>319</v>
      </c>
      <c r="B131" s="6">
        <v>45798</v>
      </c>
      <c r="C131" s="100">
        <f>MONTH(Sales[[#This Row],[Sale_Date]])</f>
        <v>5</v>
      </c>
      <c r="D131" s="100" t="str">
        <f t="shared" ref="D131:D181" si="2">CHOOSE(C131,"January","February","March","April","May","June","July","August","September","October","November","December")</f>
        <v>May</v>
      </c>
      <c r="E131" s="4" t="s">
        <v>276</v>
      </c>
      <c r="F131" s="4" t="s">
        <v>231</v>
      </c>
      <c r="G131" s="4" t="s">
        <v>62</v>
      </c>
      <c r="H131" s="7">
        <v>11</v>
      </c>
      <c r="I131" s="40">
        <v>0.12</v>
      </c>
      <c r="J131" s="7">
        <v>101640</v>
      </c>
      <c r="K131" s="33">
        <v>82500</v>
      </c>
      <c r="L131" s="7">
        <v>19140</v>
      </c>
      <c r="M131" s="4" t="s">
        <v>44</v>
      </c>
      <c r="N131" s="18" t="s">
        <v>45</v>
      </c>
      <c r="O131" t="s">
        <v>588</v>
      </c>
      <c r="P131" t="s">
        <v>579</v>
      </c>
      <c r="Q131" t="s">
        <v>438</v>
      </c>
      <c r="R131" t="s">
        <v>394</v>
      </c>
      <c r="S131" t="s">
        <v>395</v>
      </c>
      <c r="T131" t="s">
        <v>464</v>
      </c>
      <c r="U131" t="str">
        <f>INDEX(Product[#All],MATCH(Sales[[#This Row],[Product_ID]],Product[[#All],[Product_ID]],0),MATCH(Sales[[#Headers],[Category]],Product[#Headers],0))</f>
        <v>Office</v>
      </c>
      <c r="V131" s="76">
        <f>INDEX(Product[#All],MATCH(Sales[[#This Row],[Product_ID]],Product[[#All],[Product_ID]],0),MATCH(Sales[[#Headers],[Unit_Cost]],Product[#Headers],0))</f>
        <v>7500</v>
      </c>
      <c r="W131" s="76">
        <f>INDEX(Product[#All],MATCH(Sales[[#This Row],[Product_ID]],Product[[#All],[Product_ID]],0),MATCH("List_Price",Product[#Headers],0))</f>
        <v>10500</v>
      </c>
      <c r="X131" s="78">
        <f>Sales[[#This Row],[Quantity]]*(Sales[[#This Row],[List_Price]]*(1-Sales[[#This Row],[Discount]]))</f>
        <v>101640</v>
      </c>
      <c r="Y131" s="150">
        <f>Sales[[#This Row],[Profit]]/Sales[[#This Row],[Cost_Amount]]</f>
        <v>0.23200000000000001</v>
      </c>
    </row>
    <row r="132" spans="1:25" x14ac:dyDescent="0.25">
      <c r="A132" s="17" t="s">
        <v>320</v>
      </c>
      <c r="B132" s="6">
        <v>45681</v>
      </c>
      <c r="C132" s="100">
        <f>MONTH(Sales[[#This Row],[Sale_Date]])</f>
        <v>1</v>
      </c>
      <c r="D132" s="100" t="str">
        <f t="shared" si="2"/>
        <v>January</v>
      </c>
      <c r="E132" s="4" t="s">
        <v>31</v>
      </c>
      <c r="F132" s="4" t="s">
        <v>52</v>
      </c>
      <c r="G132" s="4" t="s">
        <v>53</v>
      </c>
      <c r="H132" s="7">
        <v>1</v>
      </c>
      <c r="I132" s="40">
        <v>0.12</v>
      </c>
      <c r="J132" s="7">
        <v>3696</v>
      </c>
      <c r="K132" s="33">
        <v>2800</v>
      </c>
      <c r="L132" s="7">
        <v>896</v>
      </c>
      <c r="M132" s="4" t="s">
        <v>39</v>
      </c>
      <c r="N132" s="18" t="s">
        <v>35</v>
      </c>
      <c r="O132" t="s">
        <v>569</v>
      </c>
      <c r="P132" t="s">
        <v>478</v>
      </c>
      <c r="Q132" t="s">
        <v>429</v>
      </c>
      <c r="R132" t="s">
        <v>394</v>
      </c>
      <c r="S132" t="s">
        <v>395</v>
      </c>
      <c r="T132" t="s">
        <v>473</v>
      </c>
      <c r="U132" t="str">
        <f>INDEX(Product[#All],MATCH(Sales[[#This Row],[Product_ID]],Product[[#All],[Product_ID]],0),MATCH(Sales[[#Headers],[Category]],Product[#Headers],0))</f>
        <v>IT Equipment</v>
      </c>
      <c r="V132" s="76">
        <f>INDEX(Product[#All],MATCH(Sales[[#This Row],[Product_ID]],Product[[#All],[Product_ID]],0),MATCH(Sales[[#Headers],[Unit_Cost]],Product[#Headers],0))</f>
        <v>2800</v>
      </c>
      <c r="W132" s="76">
        <f>INDEX(Product[#All],MATCH(Sales[[#This Row],[Product_ID]],Product[[#All],[Product_ID]],0),MATCH("List_Price",Product[#Headers],0))</f>
        <v>4200</v>
      </c>
      <c r="X132" s="78">
        <f>Sales[[#This Row],[Quantity]]*(Sales[[#This Row],[List_Price]]*(1-Sales[[#This Row],[Discount]]))</f>
        <v>3696</v>
      </c>
      <c r="Y132" s="150">
        <f>Sales[[#This Row],[Profit]]/Sales[[#This Row],[Cost_Amount]]</f>
        <v>0.32</v>
      </c>
    </row>
    <row r="133" spans="1:25" x14ac:dyDescent="0.25">
      <c r="A133" s="17" t="s">
        <v>321</v>
      </c>
      <c r="B133" s="6">
        <v>45678</v>
      </c>
      <c r="C133" s="100">
        <f>MONTH(Sales[[#This Row],[Sale_Date]])</f>
        <v>1</v>
      </c>
      <c r="D133" s="100" t="str">
        <f t="shared" si="2"/>
        <v>January</v>
      </c>
      <c r="E133" s="4" t="s">
        <v>322</v>
      </c>
      <c r="F133" s="4" t="s">
        <v>231</v>
      </c>
      <c r="G133" s="4" t="s">
        <v>195</v>
      </c>
      <c r="H133" s="7">
        <v>8</v>
      </c>
      <c r="I133" s="40">
        <v>0.03</v>
      </c>
      <c r="J133" s="7">
        <v>8536</v>
      </c>
      <c r="K133" s="33">
        <v>5200</v>
      </c>
      <c r="L133" s="7">
        <v>3336</v>
      </c>
      <c r="M133" s="4" t="s">
        <v>44</v>
      </c>
      <c r="N133" s="18" t="s">
        <v>45</v>
      </c>
      <c r="O133" t="s">
        <v>576</v>
      </c>
      <c r="P133" t="s">
        <v>478</v>
      </c>
      <c r="Q133" t="s">
        <v>438</v>
      </c>
      <c r="R133" t="s">
        <v>394</v>
      </c>
      <c r="S133" t="s">
        <v>395</v>
      </c>
      <c r="T133" t="s">
        <v>461</v>
      </c>
      <c r="U133" t="str">
        <f>INDEX(Product[#All],MATCH(Sales[[#This Row],[Product_ID]],Product[[#All],[Product_ID]],0),MATCH(Sales[[#Headers],[Category]],Product[#Headers],0))</f>
        <v>Accessories</v>
      </c>
      <c r="V133" s="76">
        <f>INDEX(Product[#All],MATCH(Sales[[#This Row],[Product_ID]],Product[[#All],[Product_ID]],0),MATCH(Sales[[#Headers],[Unit_Cost]],Product[#Headers],0))</f>
        <v>650</v>
      </c>
      <c r="W133" s="76">
        <f>INDEX(Product[#All],MATCH(Sales[[#This Row],[Product_ID]],Product[[#All],[Product_ID]],0),MATCH("List_Price",Product[#Headers],0))</f>
        <v>1100</v>
      </c>
      <c r="X133" s="78">
        <f>Sales[[#This Row],[Quantity]]*(Sales[[#This Row],[List_Price]]*(1-Sales[[#This Row],[Discount]]))</f>
        <v>8536</v>
      </c>
      <c r="Y133" s="150">
        <f>Sales[[#This Row],[Profit]]/Sales[[#This Row],[Cost_Amount]]</f>
        <v>0.6415384615384615</v>
      </c>
    </row>
    <row r="134" spans="1:25" x14ac:dyDescent="0.25">
      <c r="A134" s="17" t="s">
        <v>323</v>
      </c>
      <c r="B134" s="6">
        <v>45810</v>
      </c>
      <c r="C134" s="100">
        <f>MONTH(Sales[[#This Row],[Sale_Date]])</f>
        <v>6</v>
      </c>
      <c r="D134" s="100" t="str">
        <f t="shared" si="2"/>
        <v>June</v>
      </c>
      <c r="E134" s="4" t="s">
        <v>154</v>
      </c>
      <c r="F134" s="4" t="s">
        <v>48</v>
      </c>
      <c r="G134" s="4" t="s">
        <v>57</v>
      </c>
      <c r="H134" s="7">
        <v>17</v>
      </c>
      <c r="I134" s="40">
        <v>0.03</v>
      </c>
      <c r="J134" s="7">
        <v>85748</v>
      </c>
      <c r="K134" s="33">
        <v>59500</v>
      </c>
      <c r="L134" s="7">
        <v>26248</v>
      </c>
      <c r="M134" s="4" t="s">
        <v>39</v>
      </c>
      <c r="N134" s="18" t="s">
        <v>45</v>
      </c>
      <c r="O134" t="s">
        <v>546</v>
      </c>
      <c r="P134" t="s">
        <v>547</v>
      </c>
      <c r="Q134" t="s">
        <v>424</v>
      </c>
      <c r="R134" t="s">
        <v>398</v>
      </c>
      <c r="S134" t="s">
        <v>402</v>
      </c>
      <c r="T134" t="s">
        <v>477</v>
      </c>
      <c r="U134" t="str">
        <f>INDEX(Product[#All],MATCH(Sales[[#This Row],[Product_ID]],Product[[#All],[Product_ID]],0),MATCH(Sales[[#Headers],[Category]],Product[#Headers],0))</f>
        <v>Operations</v>
      </c>
      <c r="V134" s="76">
        <f>INDEX(Product[#All],MATCH(Sales[[#This Row],[Product_ID]],Product[[#All],[Product_ID]],0),MATCH(Sales[[#Headers],[Unit_Cost]],Product[#Headers],0))</f>
        <v>3500</v>
      </c>
      <c r="W134" s="76">
        <f>INDEX(Product[#All],MATCH(Sales[[#This Row],[Product_ID]],Product[[#All],[Product_ID]],0),MATCH("List_Price",Product[#Headers],0))</f>
        <v>5200</v>
      </c>
      <c r="X134" s="78">
        <f>Sales[[#This Row],[Quantity]]*(Sales[[#This Row],[List_Price]]*(1-Sales[[#This Row],[Discount]]))</f>
        <v>85748</v>
      </c>
      <c r="Y134" s="150">
        <f>Sales[[#This Row],[Profit]]/Sales[[#This Row],[Cost_Amount]]</f>
        <v>0.44114285714285717</v>
      </c>
    </row>
    <row r="135" spans="1:25" x14ac:dyDescent="0.25">
      <c r="A135" s="17" t="s">
        <v>325</v>
      </c>
      <c r="B135" s="6">
        <v>45826</v>
      </c>
      <c r="C135" s="100">
        <f>MONTH(Sales[[#This Row],[Sale_Date]])</f>
        <v>6</v>
      </c>
      <c r="D135" s="100" t="str">
        <f t="shared" si="2"/>
        <v>June</v>
      </c>
      <c r="E135" s="4" t="s">
        <v>326</v>
      </c>
      <c r="F135" s="4" t="s">
        <v>125</v>
      </c>
      <c r="G135" s="4" t="s">
        <v>195</v>
      </c>
      <c r="H135" s="7">
        <v>7</v>
      </c>
      <c r="I135" s="40">
        <v>0.12</v>
      </c>
      <c r="J135" s="7">
        <v>6776</v>
      </c>
      <c r="K135" s="33">
        <v>4550</v>
      </c>
      <c r="L135" s="7">
        <v>2226</v>
      </c>
      <c r="M135" s="4" t="s">
        <v>39</v>
      </c>
      <c r="N135" s="18" t="s">
        <v>122</v>
      </c>
      <c r="O135" t="s">
        <v>495</v>
      </c>
      <c r="P135" t="s">
        <v>485</v>
      </c>
      <c r="Q135" t="s">
        <v>450</v>
      </c>
      <c r="R135" t="s">
        <v>398</v>
      </c>
      <c r="S135" t="s">
        <v>395</v>
      </c>
      <c r="T135" t="s">
        <v>461</v>
      </c>
      <c r="U135" t="str">
        <f>INDEX(Product[#All],MATCH(Sales[[#This Row],[Product_ID]],Product[[#All],[Product_ID]],0),MATCH(Sales[[#Headers],[Category]],Product[#Headers],0))</f>
        <v>Accessories</v>
      </c>
      <c r="V135" s="76">
        <f>INDEX(Product[#All],MATCH(Sales[[#This Row],[Product_ID]],Product[[#All],[Product_ID]],0),MATCH(Sales[[#Headers],[Unit_Cost]],Product[#Headers],0))</f>
        <v>650</v>
      </c>
      <c r="W135" s="76">
        <f>INDEX(Product[#All],MATCH(Sales[[#This Row],[Product_ID]],Product[[#All],[Product_ID]],0),MATCH("List_Price",Product[#Headers],0))</f>
        <v>1100</v>
      </c>
      <c r="X135" s="78">
        <f>Sales[[#This Row],[Quantity]]*(Sales[[#This Row],[List_Price]]*(1-Sales[[#This Row],[Discount]]))</f>
        <v>6776</v>
      </c>
      <c r="Y135" s="150">
        <f>Sales[[#This Row],[Profit]]/Sales[[#This Row],[Cost_Amount]]</f>
        <v>0.48923076923076925</v>
      </c>
    </row>
    <row r="136" spans="1:25" x14ac:dyDescent="0.25">
      <c r="A136" s="17" t="s">
        <v>327</v>
      </c>
      <c r="B136" s="6">
        <v>45701</v>
      </c>
      <c r="C136" s="100">
        <f>MONTH(Sales[[#This Row],[Sale_Date]])</f>
        <v>2</v>
      </c>
      <c r="D136" s="100" t="str">
        <f t="shared" si="2"/>
        <v>February</v>
      </c>
      <c r="E136" s="4" t="s">
        <v>119</v>
      </c>
      <c r="F136" s="4" t="s">
        <v>272</v>
      </c>
      <c r="G136" s="4" t="s">
        <v>81</v>
      </c>
      <c r="H136" s="7">
        <v>8</v>
      </c>
      <c r="I136" s="40">
        <v>0.08</v>
      </c>
      <c r="J136" s="7">
        <v>66240</v>
      </c>
      <c r="K136" s="33">
        <v>52000</v>
      </c>
      <c r="L136" s="7">
        <v>14240</v>
      </c>
      <c r="M136" s="4" t="s">
        <v>44</v>
      </c>
      <c r="N136" s="18" t="s">
        <v>35</v>
      </c>
      <c r="O136" t="s">
        <v>566</v>
      </c>
      <c r="P136" t="s">
        <v>478</v>
      </c>
      <c r="Q136" t="s">
        <v>436</v>
      </c>
      <c r="R136" t="s">
        <v>394</v>
      </c>
      <c r="S136" t="s">
        <v>402</v>
      </c>
      <c r="T136" t="s">
        <v>470</v>
      </c>
      <c r="U136" t="str">
        <f>INDEX(Product[#All],MATCH(Sales[[#This Row],[Product_ID]],Product[[#All],[Product_ID]],0),MATCH(Sales[[#Headers],[Category]],Product[#Headers],0))</f>
        <v>IT Equipment</v>
      </c>
      <c r="V136" s="76">
        <f>INDEX(Product[#All],MATCH(Sales[[#This Row],[Product_ID]],Product[[#All],[Product_ID]],0),MATCH(Sales[[#Headers],[Unit_Cost]],Product[#Headers],0))</f>
        <v>6500</v>
      </c>
      <c r="W136" s="76">
        <f>INDEX(Product[#All],MATCH(Sales[[#This Row],[Product_ID]],Product[[#All],[Product_ID]],0),MATCH("List_Price",Product[#Headers],0))</f>
        <v>9000</v>
      </c>
      <c r="X136" s="78">
        <f>Sales[[#This Row],[Quantity]]*(Sales[[#This Row],[List_Price]]*(1-Sales[[#This Row],[Discount]]))</f>
        <v>66240</v>
      </c>
      <c r="Y136" s="150">
        <f>Sales[[#This Row],[Profit]]/Sales[[#This Row],[Cost_Amount]]</f>
        <v>0.27384615384615385</v>
      </c>
    </row>
    <row r="137" spans="1:25" x14ac:dyDescent="0.25">
      <c r="A137" s="17" t="s">
        <v>328</v>
      </c>
      <c r="B137" s="6">
        <v>45760</v>
      </c>
      <c r="C137" s="100">
        <f>MONTH(Sales[[#This Row],[Sale_Date]])</f>
        <v>4</v>
      </c>
      <c r="D137" s="100" t="str">
        <f t="shared" si="2"/>
        <v>April</v>
      </c>
      <c r="E137" s="4" t="s">
        <v>47</v>
      </c>
      <c r="F137" s="4" t="s">
        <v>241</v>
      </c>
      <c r="G137" s="4" t="s">
        <v>162</v>
      </c>
      <c r="H137" s="7">
        <v>9</v>
      </c>
      <c r="I137" s="40">
        <v>0.12</v>
      </c>
      <c r="J137" s="7">
        <v>126720</v>
      </c>
      <c r="K137" s="33">
        <v>103500</v>
      </c>
      <c r="L137" s="7">
        <v>23220</v>
      </c>
      <c r="M137" s="4" t="s">
        <v>63</v>
      </c>
      <c r="N137" s="18" t="s">
        <v>740</v>
      </c>
      <c r="O137" t="s">
        <v>581</v>
      </c>
      <c r="P137" t="s">
        <v>579</v>
      </c>
      <c r="Q137" t="s">
        <v>432</v>
      </c>
      <c r="R137" t="s">
        <v>398</v>
      </c>
      <c r="S137" t="s">
        <v>399</v>
      </c>
      <c r="T137" t="s">
        <v>471</v>
      </c>
      <c r="U137" t="str">
        <f>INDEX(Product[#All],MATCH(Sales[[#This Row],[Product_ID]],Product[[#All],[Product_ID]],0),MATCH(Sales[[#Headers],[Category]],Product[#Headers],0))</f>
        <v>Office</v>
      </c>
      <c r="V137" s="76">
        <f>INDEX(Product[#All],MATCH(Sales[[#This Row],[Product_ID]],Product[[#All],[Product_ID]],0),MATCH(Sales[[#Headers],[Unit_Cost]],Product[#Headers],0))</f>
        <v>11500</v>
      </c>
      <c r="W137" s="76">
        <f>INDEX(Product[#All],MATCH(Sales[[#This Row],[Product_ID]],Product[[#All],[Product_ID]],0),MATCH("List_Price",Product[#Headers],0))</f>
        <v>16000</v>
      </c>
      <c r="X137" s="78">
        <f>Sales[[#This Row],[Quantity]]*(Sales[[#This Row],[List_Price]]*(1-Sales[[#This Row],[Discount]]))</f>
        <v>126720</v>
      </c>
      <c r="Y137" s="150">
        <f>Sales[[#This Row],[Profit]]/Sales[[#This Row],[Cost_Amount]]</f>
        <v>0.22434782608695653</v>
      </c>
    </row>
    <row r="138" spans="1:25" x14ac:dyDescent="0.25">
      <c r="A138" s="17" t="s">
        <v>329</v>
      </c>
      <c r="B138" s="6">
        <v>45798</v>
      </c>
      <c r="C138" s="100">
        <f>MONTH(Sales[[#This Row],[Sale_Date]])</f>
        <v>5</v>
      </c>
      <c r="D138" s="100" t="str">
        <f t="shared" si="2"/>
        <v>May</v>
      </c>
      <c r="E138" s="4" t="s">
        <v>330</v>
      </c>
      <c r="F138" s="4" t="s">
        <v>227</v>
      </c>
      <c r="G138" s="4" t="s">
        <v>33</v>
      </c>
      <c r="H138" s="7">
        <v>3</v>
      </c>
      <c r="I138" s="40">
        <v>0</v>
      </c>
      <c r="J138" s="7">
        <v>10800</v>
      </c>
      <c r="K138" s="33">
        <v>7200</v>
      </c>
      <c r="L138" s="7">
        <v>3600</v>
      </c>
      <c r="M138" s="4" t="s">
        <v>44</v>
      </c>
      <c r="N138" s="18" t="s">
        <v>35</v>
      </c>
      <c r="O138" t="s">
        <v>580</v>
      </c>
      <c r="P138" t="s">
        <v>579</v>
      </c>
      <c r="Q138" t="s">
        <v>401</v>
      </c>
      <c r="R138" t="s">
        <v>398</v>
      </c>
      <c r="S138" t="s">
        <v>402</v>
      </c>
      <c r="T138" t="s">
        <v>475</v>
      </c>
      <c r="U138" t="str">
        <f>INDEX(Product[#All],MATCH(Sales[[#This Row],[Product_ID]],Product[[#All],[Product_ID]],0),MATCH(Sales[[#Headers],[Category]],Product[#Headers],0))</f>
        <v>Accessories</v>
      </c>
      <c r="V138" s="76">
        <f>INDEX(Product[#All],MATCH(Sales[[#This Row],[Product_ID]],Product[[#All],[Product_ID]],0),MATCH(Sales[[#Headers],[Unit_Cost]],Product[#Headers],0))</f>
        <v>2400</v>
      </c>
      <c r="W138" s="76">
        <f>INDEX(Product[#All],MATCH(Sales[[#This Row],[Product_ID]],Product[[#All],[Product_ID]],0),MATCH("List_Price",Product[#Headers],0))</f>
        <v>3600</v>
      </c>
      <c r="X138" s="78">
        <f>Sales[[#This Row],[Quantity]]*(Sales[[#This Row],[List_Price]]*(1-Sales[[#This Row],[Discount]]))</f>
        <v>10800</v>
      </c>
      <c r="Y138" s="150">
        <f>Sales[[#This Row],[Profit]]/Sales[[#This Row],[Cost_Amount]]</f>
        <v>0.5</v>
      </c>
    </row>
    <row r="139" spans="1:25" x14ac:dyDescent="0.25">
      <c r="A139" s="17" t="s">
        <v>331</v>
      </c>
      <c r="B139" s="6">
        <v>45813</v>
      </c>
      <c r="C139" s="100">
        <f>MONTH(Sales[[#This Row],[Sale_Date]])</f>
        <v>6</v>
      </c>
      <c r="D139" s="100" t="str">
        <f t="shared" si="2"/>
        <v>June</v>
      </c>
      <c r="E139" s="4" t="s">
        <v>41</v>
      </c>
      <c r="F139" s="4" t="s">
        <v>185</v>
      </c>
      <c r="G139" s="4" t="s">
        <v>162</v>
      </c>
      <c r="H139" s="7">
        <v>9</v>
      </c>
      <c r="I139" s="40">
        <v>0</v>
      </c>
      <c r="J139" s="7">
        <v>144000</v>
      </c>
      <c r="K139" s="33">
        <v>103500</v>
      </c>
      <c r="L139" s="7">
        <v>40500</v>
      </c>
      <c r="M139" s="4" t="s">
        <v>102</v>
      </c>
      <c r="N139" s="18" t="s">
        <v>35</v>
      </c>
      <c r="O139" t="s">
        <v>534</v>
      </c>
      <c r="P139" t="s">
        <v>535</v>
      </c>
      <c r="Q139" t="s">
        <v>448</v>
      </c>
      <c r="R139" t="s">
        <v>394</v>
      </c>
      <c r="S139" t="s">
        <v>402</v>
      </c>
      <c r="T139" t="s">
        <v>471</v>
      </c>
      <c r="U139" t="str">
        <f>INDEX(Product[#All],MATCH(Sales[[#This Row],[Product_ID]],Product[[#All],[Product_ID]],0),MATCH(Sales[[#Headers],[Category]],Product[#Headers],0))</f>
        <v>Office</v>
      </c>
      <c r="V139" s="76">
        <f>INDEX(Product[#All],MATCH(Sales[[#This Row],[Product_ID]],Product[[#All],[Product_ID]],0),MATCH(Sales[[#Headers],[Unit_Cost]],Product[#Headers],0))</f>
        <v>11500</v>
      </c>
      <c r="W139" s="76">
        <f>INDEX(Product[#All],MATCH(Sales[[#This Row],[Product_ID]],Product[[#All],[Product_ID]],0),MATCH("List_Price",Product[#Headers],0))</f>
        <v>16000</v>
      </c>
      <c r="X139" s="78">
        <f>Sales[[#This Row],[Quantity]]*(Sales[[#This Row],[List_Price]]*(1-Sales[[#This Row],[Discount]]))</f>
        <v>144000</v>
      </c>
      <c r="Y139" s="150">
        <f>Sales[[#This Row],[Profit]]/Sales[[#This Row],[Cost_Amount]]</f>
        <v>0.39130434782608697</v>
      </c>
    </row>
    <row r="140" spans="1:25" x14ac:dyDescent="0.25">
      <c r="A140" s="17" t="s">
        <v>332</v>
      </c>
      <c r="B140" s="6">
        <v>45685</v>
      </c>
      <c r="C140" s="100">
        <f>MONTH(Sales[[#This Row],[Sale_Date]])</f>
        <v>1</v>
      </c>
      <c r="D140" s="100" t="str">
        <f t="shared" si="2"/>
        <v>January</v>
      </c>
      <c r="E140" s="4" t="s">
        <v>83</v>
      </c>
      <c r="F140" s="4" t="s">
        <v>164</v>
      </c>
      <c r="G140" s="4" t="s">
        <v>91</v>
      </c>
      <c r="H140" s="7">
        <v>14</v>
      </c>
      <c r="I140" s="40">
        <v>0.08</v>
      </c>
      <c r="J140" s="7">
        <v>43792</v>
      </c>
      <c r="K140" s="33">
        <v>30800</v>
      </c>
      <c r="L140" s="7">
        <v>12992</v>
      </c>
      <c r="M140" s="4" t="s">
        <v>44</v>
      </c>
      <c r="N140" s="18" t="s">
        <v>35</v>
      </c>
      <c r="O140" t="s">
        <v>523</v>
      </c>
      <c r="P140" t="s">
        <v>520</v>
      </c>
      <c r="Q140" t="s">
        <v>422</v>
      </c>
      <c r="R140" t="s">
        <v>394</v>
      </c>
      <c r="S140" t="s">
        <v>402</v>
      </c>
      <c r="T140" t="s">
        <v>467</v>
      </c>
      <c r="U140" t="str">
        <f>INDEX(Product[#All],MATCH(Sales[[#This Row],[Product_ID]],Product[[#All],[Product_ID]],0),MATCH(Sales[[#Headers],[Category]],Product[#Headers],0))</f>
        <v>IT Equipment</v>
      </c>
      <c r="V140" s="76">
        <f>INDEX(Product[#All],MATCH(Sales[[#This Row],[Product_ID]],Product[[#All],[Product_ID]],0),MATCH(Sales[[#Headers],[Unit_Cost]],Product[#Headers],0))</f>
        <v>2200</v>
      </c>
      <c r="W140" s="76">
        <f>INDEX(Product[#All],MATCH(Sales[[#This Row],[Product_ID]],Product[[#All],[Product_ID]],0),MATCH("List_Price",Product[#Headers],0))</f>
        <v>3400</v>
      </c>
      <c r="X140" s="78">
        <f>Sales[[#This Row],[Quantity]]*(Sales[[#This Row],[List_Price]]*(1-Sales[[#This Row],[Discount]]))</f>
        <v>43792</v>
      </c>
      <c r="Y140" s="150">
        <f>Sales[[#This Row],[Profit]]/Sales[[#This Row],[Cost_Amount]]</f>
        <v>0.42181818181818181</v>
      </c>
    </row>
    <row r="141" spans="1:25" x14ac:dyDescent="0.25">
      <c r="A141" s="17" t="s">
        <v>333</v>
      </c>
      <c r="B141" s="6">
        <v>45805</v>
      </c>
      <c r="C141" s="100">
        <f>MONTH(Sales[[#This Row],[Sale_Date]])</f>
        <v>5</v>
      </c>
      <c r="D141" s="100" t="str">
        <f t="shared" si="2"/>
        <v>May</v>
      </c>
      <c r="E141" s="4" t="s">
        <v>334</v>
      </c>
      <c r="F141" s="4" t="s">
        <v>133</v>
      </c>
      <c r="G141" s="4" t="s">
        <v>67</v>
      </c>
      <c r="H141" s="7">
        <v>9</v>
      </c>
      <c r="I141" s="40">
        <v>0.08</v>
      </c>
      <c r="J141" s="7">
        <v>56304</v>
      </c>
      <c r="K141" s="33">
        <v>40500</v>
      </c>
      <c r="L141" s="7">
        <v>15804</v>
      </c>
      <c r="M141" s="4" t="s">
        <v>39</v>
      </c>
      <c r="N141" s="18" t="s">
        <v>45</v>
      </c>
      <c r="O141" t="s">
        <v>556</v>
      </c>
      <c r="P141" t="s">
        <v>547</v>
      </c>
      <c r="Q141" t="s">
        <v>412</v>
      </c>
      <c r="R141" t="s">
        <v>398</v>
      </c>
      <c r="S141" t="s">
        <v>402</v>
      </c>
      <c r="T141" t="s">
        <v>466</v>
      </c>
      <c r="U141" t="str">
        <f>INDEX(Product[#All],MATCH(Sales[[#This Row],[Product_ID]],Product[[#All],[Product_ID]],0),MATCH(Sales[[#Headers],[Category]],Product[#Headers],0))</f>
        <v>IT Equipment</v>
      </c>
      <c r="V141" s="76">
        <f>INDEX(Product[#All],MATCH(Sales[[#This Row],[Product_ID]],Product[[#All],[Product_ID]],0),MATCH(Sales[[#Headers],[Unit_Cost]],Product[#Headers],0))</f>
        <v>4500</v>
      </c>
      <c r="W141" s="76">
        <f>INDEX(Product[#All],MATCH(Sales[[#This Row],[Product_ID]],Product[[#All],[Product_ID]],0),MATCH("List_Price",Product[#Headers],0))</f>
        <v>6800</v>
      </c>
      <c r="X141" s="78">
        <f>Sales[[#This Row],[Quantity]]*(Sales[[#This Row],[List_Price]]*(1-Sales[[#This Row],[Discount]]))</f>
        <v>56304</v>
      </c>
      <c r="Y141" s="150">
        <f>Sales[[#This Row],[Profit]]/Sales[[#This Row],[Cost_Amount]]</f>
        <v>0.39022222222222225</v>
      </c>
    </row>
    <row r="142" spans="1:25" x14ac:dyDescent="0.25">
      <c r="A142" s="17" t="s">
        <v>335</v>
      </c>
      <c r="B142" s="6">
        <v>45775</v>
      </c>
      <c r="C142" s="100">
        <f>MONTH(Sales[[#This Row],[Sale_Date]])</f>
        <v>4</v>
      </c>
      <c r="D142" s="100" t="str">
        <f t="shared" si="2"/>
        <v>April</v>
      </c>
      <c r="E142" s="4" t="s">
        <v>336</v>
      </c>
      <c r="F142" s="4" t="s">
        <v>241</v>
      </c>
      <c r="G142" s="4" t="s">
        <v>67</v>
      </c>
      <c r="H142" s="7">
        <v>11</v>
      </c>
      <c r="I142" s="40">
        <v>0.12</v>
      </c>
      <c r="J142" s="7">
        <v>65824</v>
      </c>
      <c r="K142" s="33">
        <v>49500</v>
      </c>
      <c r="L142" s="7">
        <v>16324</v>
      </c>
      <c r="M142" s="4" t="s">
        <v>63</v>
      </c>
      <c r="N142" s="18" t="s">
        <v>45</v>
      </c>
      <c r="O142" t="s">
        <v>517</v>
      </c>
      <c r="P142" t="s">
        <v>485</v>
      </c>
      <c r="Q142" t="s">
        <v>432</v>
      </c>
      <c r="R142" t="s">
        <v>398</v>
      </c>
      <c r="S142" t="s">
        <v>399</v>
      </c>
      <c r="T142" t="s">
        <v>466</v>
      </c>
      <c r="U142" t="str">
        <f>INDEX(Product[#All],MATCH(Sales[[#This Row],[Product_ID]],Product[[#All],[Product_ID]],0),MATCH(Sales[[#Headers],[Category]],Product[#Headers],0))</f>
        <v>IT Equipment</v>
      </c>
      <c r="V142" s="76">
        <f>INDEX(Product[#All],MATCH(Sales[[#This Row],[Product_ID]],Product[[#All],[Product_ID]],0),MATCH(Sales[[#Headers],[Unit_Cost]],Product[#Headers],0))</f>
        <v>4500</v>
      </c>
      <c r="W142" s="76">
        <f>INDEX(Product[#All],MATCH(Sales[[#This Row],[Product_ID]],Product[[#All],[Product_ID]],0),MATCH("List_Price",Product[#Headers],0))</f>
        <v>6800</v>
      </c>
      <c r="X142" s="78">
        <f>Sales[[#This Row],[Quantity]]*(Sales[[#This Row],[List_Price]]*(1-Sales[[#This Row],[Discount]]))</f>
        <v>65824</v>
      </c>
      <c r="Y142" s="150">
        <f>Sales[[#This Row],[Profit]]/Sales[[#This Row],[Cost_Amount]]</f>
        <v>0.32977777777777778</v>
      </c>
    </row>
    <row r="143" spans="1:25" x14ac:dyDescent="0.25">
      <c r="A143" s="17" t="s">
        <v>337</v>
      </c>
      <c r="B143" s="6">
        <v>45820</v>
      </c>
      <c r="C143" s="100">
        <f>MONTH(Sales[[#This Row],[Sale_Date]])</f>
        <v>6</v>
      </c>
      <c r="D143" s="100" t="str">
        <f t="shared" si="2"/>
        <v>June</v>
      </c>
      <c r="E143" s="4" t="s">
        <v>287</v>
      </c>
      <c r="F143" s="4" t="s">
        <v>52</v>
      </c>
      <c r="G143" s="4" t="s">
        <v>67</v>
      </c>
      <c r="H143" s="7">
        <v>3</v>
      </c>
      <c r="I143" s="40">
        <v>0.05</v>
      </c>
      <c r="J143" s="7">
        <v>19380</v>
      </c>
      <c r="K143" s="33">
        <v>13500</v>
      </c>
      <c r="L143" s="7">
        <v>5880</v>
      </c>
      <c r="M143" s="4" t="s">
        <v>39</v>
      </c>
      <c r="N143" s="18" t="s">
        <v>35</v>
      </c>
      <c r="O143" t="s">
        <v>521</v>
      </c>
      <c r="P143" t="s">
        <v>520</v>
      </c>
      <c r="Q143" t="s">
        <v>429</v>
      </c>
      <c r="R143" t="s">
        <v>394</v>
      </c>
      <c r="S143" t="s">
        <v>395</v>
      </c>
      <c r="T143" t="s">
        <v>466</v>
      </c>
      <c r="U143" t="str">
        <f>INDEX(Product[#All],MATCH(Sales[[#This Row],[Product_ID]],Product[[#All],[Product_ID]],0),MATCH(Sales[[#Headers],[Category]],Product[#Headers],0))</f>
        <v>IT Equipment</v>
      </c>
      <c r="V143" s="76">
        <f>INDEX(Product[#All],MATCH(Sales[[#This Row],[Product_ID]],Product[[#All],[Product_ID]],0),MATCH(Sales[[#Headers],[Unit_Cost]],Product[#Headers],0))</f>
        <v>4500</v>
      </c>
      <c r="W143" s="76">
        <f>INDEX(Product[#All],MATCH(Sales[[#This Row],[Product_ID]],Product[[#All],[Product_ID]],0),MATCH("List_Price",Product[#Headers],0))</f>
        <v>6800</v>
      </c>
      <c r="X143" s="78">
        <f>Sales[[#This Row],[Quantity]]*(Sales[[#This Row],[List_Price]]*(1-Sales[[#This Row],[Discount]]))</f>
        <v>19380</v>
      </c>
      <c r="Y143" s="150">
        <f>Sales[[#This Row],[Profit]]/Sales[[#This Row],[Cost_Amount]]</f>
        <v>0.43555555555555553</v>
      </c>
    </row>
    <row r="144" spans="1:25" x14ac:dyDescent="0.25">
      <c r="A144" s="17" t="s">
        <v>338</v>
      </c>
      <c r="B144" s="6">
        <v>45795</v>
      </c>
      <c r="C144" s="100">
        <f>MONTH(Sales[[#This Row],[Sale_Date]])</f>
        <v>5</v>
      </c>
      <c r="D144" s="100" t="str">
        <f t="shared" si="2"/>
        <v>May</v>
      </c>
      <c r="E144" s="4" t="s">
        <v>364</v>
      </c>
      <c r="F144" s="4" t="s">
        <v>107</v>
      </c>
      <c r="G144" s="4" t="s">
        <v>116</v>
      </c>
      <c r="H144" s="7">
        <v>12</v>
      </c>
      <c r="I144" s="40">
        <v>0.08</v>
      </c>
      <c r="J144" s="7">
        <v>132480</v>
      </c>
      <c r="K144" s="33">
        <v>102000</v>
      </c>
      <c r="L144" s="7">
        <v>30480</v>
      </c>
      <c r="M144" s="4" t="s">
        <v>34</v>
      </c>
      <c r="N144" s="18" t="s">
        <v>35</v>
      </c>
      <c r="O144" t="s">
        <v>522</v>
      </c>
      <c r="P144" t="s">
        <v>520</v>
      </c>
      <c r="Q144" t="s">
        <v>415</v>
      </c>
      <c r="R144" t="s">
        <v>409</v>
      </c>
      <c r="S144" t="s">
        <v>399</v>
      </c>
      <c r="T144" t="s">
        <v>458</v>
      </c>
      <c r="U144" t="str">
        <f>INDEX(Product[#All],MATCH(Sales[[#This Row],[Product_ID]],Product[[#All],[Product_ID]],0),MATCH(Sales[[#Headers],[Category]],Product[#Headers],0))</f>
        <v>IT Equipment</v>
      </c>
      <c r="V144" s="76">
        <f>INDEX(Product[#All],MATCH(Sales[[#This Row],[Product_ID]],Product[[#All],[Product_ID]],0),MATCH(Sales[[#Headers],[Unit_Cost]],Product[#Headers],0))</f>
        <v>8500</v>
      </c>
      <c r="W144" s="76">
        <f>INDEX(Product[#All],MATCH(Sales[[#This Row],[Product_ID]],Product[[#All],[Product_ID]],0),MATCH("List_Price",Product[#Headers],0))</f>
        <v>12000</v>
      </c>
      <c r="X144" s="78">
        <f>Sales[[#This Row],[Quantity]]*(Sales[[#This Row],[List_Price]]*(1-Sales[[#This Row],[Discount]]))</f>
        <v>132480</v>
      </c>
      <c r="Y144" s="150">
        <f>Sales[[#This Row],[Profit]]/Sales[[#This Row],[Cost_Amount]]</f>
        <v>0.29882352941176471</v>
      </c>
    </row>
    <row r="145" spans="1:25" x14ac:dyDescent="0.25">
      <c r="A145" s="17" t="s">
        <v>341</v>
      </c>
      <c r="B145" s="6">
        <v>45799</v>
      </c>
      <c r="C145" s="100">
        <f>MONTH(Sales[[#This Row],[Sale_Date]])</f>
        <v>5</v>
      </c>
      <c r="D145" s="100" t="str">
        <f t="shared" si="2"/>
        <v>May</v>
      </c>
      <c r="E145" s="4" t="s">
        <v>342</v>
      </c>
      <c r="F145" s="4" t="s">
        <v>202</v>
      </c>
      <c r="G145" s="4" t="s">
        <v>95</v>
      </c>
      <c r="H145" s="7">
        <v>11</v>
      </c>
      <c r="I145" s="40">
        <v>0</v>
      </c>
      <c r="J145" s="7">
        <v>572000</v>
      </c>
      <c r="K145" s="33">
        <v>462000</v>
      </c>
      <c r="L145" s="7">
        <v>110000</v>
      </c>
      <c r="M145" s="4" t="s">
        <v>102</v>
      </c>
      <c r="N145" s="18" t="s">
        <v>122</v>
      </c>
      <c r="O145" t="s">
        <v>594</v>
      </c>
      <c r="P145" t="s">
        <v>590</v>
      </c>
      <c r="Q145" t="s">
        <v>420</v>
      </c>
      <c r="R145" t="s">
        <v>409</v>
      </c>
      <c r="S145" t="s">
        <v>395</v>
      </c>
      <c r="T145" t="s">
        <v>455</v>
      </c>
      <c r="U145" t="str">
        <f>INDEX(Product[#All],MATCH(Sales[[#This Row],[Product_ID]],Product[[#All],[Product_ID]],0),MATCH(Sales[[#Headers],[Category]],Product[#Headers],0))</f>
        <v>IT Equipment</v>
      </c>
      <c r="V145" s="76">
        <f>INDEX(Product[#All],MATCH(Sales[[#This Row],[Product_ID]],Product[[#All],[Product_ID]],0),MATCH(Sales[[#Headers],[Unit_Cost]],Product[#Headers],0))</f>
        <v>42000</v>
      </c>
      <c r="W145" s="76">
        <f>INDEX(Product[#All],MATCH(Sales[[#This Row],[Product_ID]],Product[[#All],[Product_ID]],0),MATCH("List_Price",Product[#Headers],0))</f>
        <v>52000</v>
      </c>
      <c r="X145" s="78">
        <f>Sales[[#This Row],[Quantity]]*(Sales[[#This Row],[List_Price]]*(1-Sales[[#This Row],[Discount]]))</f>
        <v>572000</v>
      </c>
      <c r="Y145" s="150">
        <f>Sales[[#This Row],[Profit]]/Sales[[#This Row],[Cost_Amount]]</f>
        <v>0.23809523809523808</v>
      </c>
    </row>
    <row r="146" spans="1:25" x14ac:dyDescent="0.25">
      <c r="A146" s="17" t="s">
        <v>343</v>
      </c>
      <c r="B146" s="6">
        <v>45709</v>
      </c>
      <c r="C146" s="100">
        <f>MONTH(Sales[[#This Row],[Sale_Date]])</f>
        <v>2</v>
      </c>
      <c r="D146" s="100" t="str">
        <f t="shared" si="2"/>
        <v>February</v>
      </c>
      <c r="E146" s="4" t="s">
        <v>173</v>
      </c>
      <c r="F146" s="4" t="s">
        <v>241</v>
      </c>
      <c r="G146" s="4" t="s">
        <v>49</v>
      </c>
      <c r="H146" s="7">
        <v>7</v>
      </c>
      <c r="I146" s="40">
        <v>0.05</v>
      </c>
      <c r="J146" s="7">
        <v>31920</v>
      </c>
      <c r="K146" s="33">
        <v>22400</v>
      </c>
      <c r="L146" s="7">
        <v>9520</v>
      </c>
      <c r="M146" s="4" t="s">
        <v>63</v>
      </c>
      <c r="N146" s="18" t="s">
        <v>35</v>
      </c>
      <c r="O146" t="s">
        <v>578</v>
      </c>
      <c r="P146" t="s">
        <v>579</v>
      </c>
      <c r="Q146" t="s">
        <v>432</v>
      </c>
      <c r="R146" t="s">
        <v>398</v>
      </c>
      <c r="S146" t="s">
        <v>399</v>
      </c>
      <c r="T146" t="s">
        <v>472</v>
      </c>
      <c r="U146" t="str">
        <f>INDEX(Product[#All],MATCH(Sales[[#This Row],[Product_ID]],Product[[#All],[Product_ID]],0),MATCH(Sales[[#Headers],[Category]],Product[#Headers],0))</f>
        <v>IT Equipment</v>
      </c>
      <c r="V146" s="76">
        <f>INDEX(Product[#All],MATCH(Sales[[#This Row],[Product_ID]],Product[[#All],[Product_ID]],0),MATCH(Sales[[#Headers],[Unit_Cost]],Product[#Headers],0))</f>
        <v>3200</v>
      </c>
      <c r="W146" s="76">
        <f>INDEX(Product[#All],MATCH(Sales[[#This Row],[Product_ID]],Product[[#All],[Product_ID]],0),MATCH("List_Price",Product[#Headers],0))</f>
        <v>4800</v>
      </c>
      <c r="X146" s="78">
        <f>Sales[[#This Row],[Quantity]]*(Sales[[#This Row],[List_Price]]*(1-Sales[[#This Row],[Discount]]))</f>
        <v>31920</v>
      </c>
      <c r="Y146" s="150">
        <f>Sales[[#This Row],[Profit]]/Sales[[#This Row],[Cost_Amount]]</f>
        <v>0.42499999999999999</v>
      </c>
    </row>
    <row r="147" spans="1:25" x14ac:dyDescent="0.25">
      <c r="A147" s="17" t="s">
        <v>344</v>
      </c>
      <c r="B147" s="6">
        <v>45816</v>
      </c>
      <c r="C147" s="100">
        <f>MONTH(Sales[[#This Row],[Sale_Date]])</f>
        <v>6</v>
      </c>
      <c r="D147" s="100" t="str">
        <f t="shared" si="2"/>
        <v>June</v>
      </c>
      <c r="E147" s="4" t="s">
        <v>345</v>
      </c>
      <c r="F147" s="4" t="s">
        <v>52</v>
      </c>
      <c r="G147" s="4" t="s">
        <v>116</v>
      </c>
      <c r="H147" s="7">
        <v>8</v>
      </c>
      <c r="I147" s="40">
        <v>0.12</v>
      </c>
      <c r="J147" s="7">
        <v>84480</v>
      </c>
      <c r="K147" s="33">
        <v>68000</v>
      </c>
      <c r="L147" s="7">
        <v>16480</v>
      </c>
      <c r="M147" s="4" t="s">
        <v>39</v>
      </c>
      <c r="N147" s="18" t="s">
        <v>35</v>
      </c>
      <c r="O147" t="s">
        <v>543</v>
      </c>
      <c r="P147" t="s">
        <v>535</v>
      </c>
      <c r="Q147" t="s">
        <v>429</v>
      </c>
      <c r="R147" t="s">
        <v>394</v>
      </c>
      <c r="S147" t="s">
        <v>395</v>
      </c>
      <c r="T147" t="s">
        <v>458</v>
      </c>
      <c r="U147" t="str">
        <f>INDEX(Product[#All],MATCH(Sales[[#This Row],[Product_ID]],Product[[#All],[Product_ID]],0),MATCH(Sales[[#Headers],[Category]],Product[#Headers],0))</f>
        <v>IT Equipment</v>
      </c>
      <c r="V147" s="76">
        <f>INDEX(Product[#All],MATCH(Sales[[#This Row],[Product_ID]],Product[[#All],[Product_ID]],0),MATCH(Sales[[#Headers],[Unit_Cost]],Product[#Headers],0))</f>
        <v>8500</v>
      </c>
      <c r="W147" s="76">
        <f>INDEX(Product[#All],MATCH(Sales[[#This Row],[Product_ID]],Product[[#All],[Product_ID]],0),MATCH("List_Price",Product[#Headers],0))</f>
        <v>12000</v>
      </c>
      <c r="X147" s="78">
        <f>Sales[[#This Row],[Quantity]]*(Sales[[#This Row],[List_Price]]*(1-Sales[[#This Row],[Discount]]))</f>
        <v>84480</v>
      </c>
      <c r="Y147" s="151">
        <f>Sales[[#This Row],[Profit]]/Sales[[#This Row],[Cost_Amount]]</f>
        <v>0.24235294117647058</v>
      </c>
    </row>
    <row r="148" spans="1:25" x14ac:dyDescent="0.25">
      <c r="A148" s="17" t="s">
        <v>346</v>
      </c>
      <c r="B148" s="6">
        <v>45659</v>
      </c>
      <c r="C148" s="100">
        <f>MONTH(Sales[[#This Row],[Sale_Date]])</f>
        <v>1</v>
      </c>
      <c r="D148" s="100" t="str">
        <f t="shared" si="2"/>
        <v>January</v>
      </c>
      <c r="E148" s="4" t="s">
        <v>147</v>
      </c>
      <c r="F148" s="4" t="s">
        <v>192</v>
      </c>
      <c r="G148" s="4" t="s">
        <v>145</v>
      </c>
      <c r="H148" s="7">
        <v>16</v>
      </c>
      <c r="I148" s="40">
        <v>0.08</v>
      </c>
      <c r="J148" s="7">
        <v>36800</v>
      </c>
      <c r="K148" s="33">
        <v>25600</v>
      </c>
      <c r="L148" s="7">
        <v>11200</v>
      </c>
      <c r="M148" s="4" t="s">
        <v>34</v>
      </c>
      <c r="N148" s="18" t="s">
        <v>45</v>
      </c>
      <c r="O148" t="s">
        <v>493</v>
      </c>
      <c r="P148" t="s">
        <v>485</v>
      </c>
      <c r="Q148" t="s">
        <v>393</v>
      </c>
      <c r="R148" t="s">
        <v>394</v>
      </c>
      <c r="S148" t="s">
        <v>395</v>
      </c>
      <c r="T148" t="s">
        <v>469</v>
      </c>
      <c r="U148" t="str">
        <f>INDEX(Product[#All],MATCH(Sales[[#This Row],[Product_ID]],Product[[#All],[Product_ID]],0),MATCH(Sales[[#Headers],[Category]],Product[#Headers],0))</f>
        <v>Accessories</v>
      </c>
      <c r="V148" s="76">
        <f>INDEX(Product[#All],MATCH(Sales[[#This Row],[Product_ID]],Product[[#All],[Product_ID]],0),MATCH(Sales[[#Headers],[Unit_Cost]],Product[#Headers],0))</f>
        <v>1600</v>
      </c>
      <c r="W148" s="76">
        <f>INDEX(Product[#All],MATCH(Sales[[#This Row],[Product_ID]],Product[[#All],[Product_ID]],0),MATCH("List_Price",Product[#Headers],0))</f>
        <v>2500</v>
      </c>
      <c r="X148" s="78">
        <f>Sales[[#This Row],[Quantity]]*(Sales[[#This Row],[List_Price]]*(1-Sales[[#This Row],[Discount]]))</f>
        <v>36800</v>
      </c>
      <c r="Y148" s="150">
        <f>Sales[[#This Row],[Profit]]/Sales[[#This Row],[Cost_Amount]]</f>
        <v>0.4375</v>
      </c>
    </row>
    <row r="149" spans="1:25" x14ac:dyDescent="0.25">
      <c r="A149" s="17" t="s">
        <v>347</v>
      </c>
      <c r="B149" s="6">
        <v>45805</v>
      </c>
      <c r="C149" s="100">
        <f>MONTH(Sales[[#This Row],[Sale_Date]])</f>
        <v>5</v>
      </c>
      <c r="D149" s="100" t="str">
        <f t="shared" si="2"/>
        <v>May</v>
      </c>
      <c r="E149" s="4" t="s">
        <v>76</v>
      </c>
      <c r="F149" s="4" t="s">
        <v>70</v>
      </c>
      <c r="G149" s="4" t="s">
        <v>57</v>
      </c>
      <c r="H149" s="7">
        <v>11</v>
      </c>
      <c r="I149" s="40">
        <v>0.05</v>
      </c>
      <c r="J149" s="7">
        <v>54340</v>
      </c>
      <c r="K149" s="33">
        <v>38500</v>
      </c>
      <c r="L149" s="7">
        <v>15840</v>
      </c>
      <c r="M149" s="4" t="s">
        <v>39</v>
      </c>
      <c r="N149" s="18" t="s">
        <v>122</v>
      </c>
      <c r="O149" t="s">
        <v>497</v>
      </c>
      <c r="P149" t="s">
        <v>485</v>
      </c>
      <c r="Q149" t="s">
        <v>411</v>
      </c>
      <c r="R149" t="s">
        <v>409</v>
      </c>
      <c r="S149" t="s">
        <v>402</v>
      </c>
      <c r="T149" t="s">
        <v>477</v>
      </c>
      <c r="U149" t="str">
        <f>INDEX(Product[#All],MATCH(Sales[[#This Row],[Product_ID]],Product[[#All],[Product_ID]],0),MATCH(Sales[[#Headers],[Category]],Product[#Headers],0))</f>
        <v>Operations</v>
      </c>
      <c r="V149" s="76">
        <f>INDEX(Product[#All],MATCH(Sales[[#This Row],[Product_ID]],Product[[#All],[Product_ID]],0),MATCH(Sales[[#Headers],[Unit_Cost]],Product[#Headers],0))</f>
        <v>3500</v>
      </c>
      <c r="W149" s="76">
        <f>INDEX(Product[#All],MATCH(Sales[[#This Row],[Product_ID]],Product[[#All],[Product_ID]],0),MATCH("List_Price",Product[#Headers],0))</f>
        <v>5200</v>
      </c>
      <c r="X149" s="78">
        <f>Sales[[#This Row],[Quantity]]*(Sales[[#This Row],[List_Price]]*(1-Sales[[#This Row],[Discount]]))</f>
        <v>54340</v>
      </c>
      <c r="Y149" s="150">
        <f>Sales[[#This Row],[Profit]]/Sales[[#This Row],[Cost_Amount]]</f>
        <v>0.41142857142857142</v>
      </c>
    </row>
    <row r="150" spans="1:25" x14ac:dyDescent="0.25">
      <c r="A150" s="17" t="s">
        <v>348</v>
      </c>
      <c r="B150" s="6">
        <v>45805</v>
      </c>
      <c r="C150" s="100">
        <f>MONTH(Sales[[#This Row],[Sale_Date]])</f>
        <v>5</v>
      </c>
      <c r="D150" s="100" t="str">
        <f t="shared" si="2"/>
        <v>May</v>
      </c>
      <c r="E150" s="4" t="s">
        <v>211</v>
      </c>
      <c r="F150" s="4" t="s">
        <v>182</v>
      </c>
      <c r="G150" s="4" t="s">
        <v>62</v>
      </c>
      <c r="H150" s="7">
        <v>8</v>
      </c>
      <c r="I150" s="40">
        <v>0.12</v>
      </c>
      <c r="J150" s="7">
        <v>73920</v>
      </c>
      <c r="K150" s="33">
        <v>60000</v>
      </c>
      <c r="L150" s="7">
        <v>13920</v>
      </c>
      <c r="M150" s="4" t="s">
        <v>102</v>
      </c>
      <c r="N150" s="18" t="s">
        <v>122</v>
      </c>
      <c r="O150" t="s">
        <v>514</v>
      </c>
      <c r="P150" t="s">
        <v>485</v>
      </c>
      <c r="Q150" t="s">
        <v>404</v>
      </c>
      <c r="R150" t="s">
        <v>398</v>
      </c>
      <c r="S150" t="s">
        <v>395</v>
      </c>
      <c r="T150" t="s">
        <v>464</v>
      </c>
      <c r="U150" t="str">
        <f>INDEX(Product[#All],MATCH(Sales[[#This Row],[Product_ID]],Product[[#All],[Product_ID]],0),MATCH(Sales[[#Headers],[Category]],Product[#Headers],0))</f>
        <v>Office</v>
      </c>
      <c r="V150" s="76">
        <f>INDEX(Product[#All],MATCH(Sales[[#This Row],[Product_ID]],Product[[#All],[Product_ID]],0),MATCH(Sales[[#Headers],[Unit_Cost]],Product[#Headers],0))</f>
        <v>7500</v>
      </c>
      <c r="W150" s="76">
        <f>INDEX(Product[#All],MATCH(Sales[[#This Row],[Product_ID]],Product[[#All],[Product_ID]],0),MATCH("List_Price",Product[#Headers],0))</f>
        <v>10500</v>
      </c>
      <c r="X150" s="78">
        <f>Sales[[#This Row],[Quantity]]*(Sales[[#This Row],[List_Price]]*(1-Sales[[#This Row],[Discount]]))</f>
        <v>73920</v>
      </c>
      <c r="Y150" s="150">
        <f>Sales[[#This Row],[Profit]]/Sales[[#This Row],[Cost_Amount]]</f>
        <v>0.23200000000000001</v>
      </c>
    </row>
    <row r="151" spans="1:25" x14ac:dyDescent="0.25">
      <c r="A151" s="17" t="s">
        <v>349</v>
      </c>
      <c r="B151" s="6">
        <v>45833</v>
      </c>
      <c r="C151" s="100">
        <f>MONTH(Sales[[#This Row],[Sale_Date]])</f>
        <v>6</v>
      </c>
      <c r="D151" s="100" t="str">
        <f t="shared" si="2"/>
        <v>June</v>
      </c>
      <c r="E151" s="4" t="s">
        <v>76</v>
      </c>
      <c r="F151" s="4" t="s">
        <v>133</v>
      </c>
      <c r="G151" s="4" t="s">
        <v>57</v>
      </c>
      <c r="H151" s="7">
        <v>12</v>
      </c>
      <c r="I151" s="40">
        <v>0.05</v>
      </c>
      <c r="J151" s="7">
        <v>59280</v>
      </c>
      <c r="K151" s="33">
        <v>42000</v>
      </c>
      <c r="L151" s="7">
        <v>17280</v>
      </c>
      <c r="M151" s="4" t="s">
        <v>39</v>
      </c>
      <c r="N151" s="18" t="s">
        <v>122</v>
      </c>
      <c r="O151" t="s">
        <v>497</v>
      </c>
      <c r="P151" t="s">
        <v>485</v>
      </c>
      <c r="Q151" t="s">
        <v>412</v>
      </c>
      <c r="R151" t="s">
        <v>398</v>
      </c>
      <c r="S151" t="s">
        <v>402</v>
      </c>
      <c r="T151" t="s">
        <v>477</v>
      </c>
      <c r="U151" t="str">
        <f>INDEX(Product[#All],MATCH(Sales[[#This Row],[Product_ID]],Product[[#All],[Product_ID]],0),MATCH(Sales[[#Headers],[Category]],Product[#Headers],0))</f>
        <v>Operations</v>
      </c>
      <c r="V151" s="76">
        <f>INDEX(Product[#All],MATCH(Sales[[#This Row],[Product_ID]],Product[[#All],[Product_ID]],0),MATCH(Sales[[#Headers],[Unit_Cost]],Product[#Headers],0))</f>
        <v>3500</v>
      </c>
      <c r="W151" s="76">
        <f>INDEX(Product[#All],MATCH(Sales[[#This Row],[Product_ID]],Product[[#All],[Product_ID]],0),MATCH("List_Price",Product[#Headers],0))</f>
        <v>5200</v>
      </c>
      <c r="X151" s="78">
        <f>Sales[[#This Row],[Quantity]]*(Sales[[#This Row],[List_Price]]*(1-Sales[[#This Row],[Discount]]))</f>
        <v>59280</v>
      </c>
      <c r="Y151" s="150">
        <f>Sales[[#This Row],[Profit]]/Sales[[#This Row],[Cost_Amount]]</f>
        <v>0.41142857142857142</v>
      </c>
    </row>
    <row r="152" spans="1:25" x14ac:dyDescent="0.25">
      <c r="A152" s="17" t="s">
        <v>350</v>
      </c>
      <c r="B152" s="6">
        <v>45830</v>
      </c>
      <c r="C152" s="100">
        <f>MONTH(Sales[[#This Row],[Sale_Date]])</f>
        <v>6</v>
      </c>
      <c r="D152" s="100" t="str">
        <f t="shared" si="2"/>
        <v>June</v>
      </c>
      <c r="E152" s="4" t="s">
        <v>243</v>
      </c>
      <c r="F152" s="4" t="s">
        <v>227</v>
      </c>
      <c r="G152" s="4" t="s">
        <v>78</v>
      </c>
      <c r="H152" s="7">
        <v>1</v>
      </c>
      <c r="I152" s="40">
        <v>0</v>
      </c>
      <c r="J152" s="7">
        <v>9000</v>
      </c>
      <c r="K152" s="33">
        <v>6500</v>
      </c>
      <c r="L152" s="7">
        <v>2500</v>
      </c>
      <c r="M152" s="4" t="s">
        <v>44</v>
      </c>
      <c r="N152" s="18" t="s">
        <v>122</v>
      </c>
      <c r="O152" t="s">
        <v>508</v>
      </c>
      <c r="P152" t="s">
        <v>485</v>
      </c>
      <c r="Q152" t="s">
        <v>401</v>
      </c>
      <c r="R152" t="s">
        <v>398</v>
      </c>
      <c r="S152" t="s">
        <v>402</v>
      </c>
      <c r="T152" t="s">
        <v>465</v>
      </c>
      <c r="U152" t="str">
        <f>INDEX(Product[#All],MATCH(Sales[[#This Row],[Product_ID]],Product[[#All],[Product_ID]],0),MATCH(Sales[[#Headers],[Category]],Product[#Headers],0))</f>
        <v>Office</v>
      </c>
      <c r="V152" s="76">
        <f>INDEX(Product[#All],MATCH(Sales[[#This Row],[Product_ID]],Product[[#All],[Product_ID]],0),MATCH(Sales[[#Headers],[Unit_Cost]],Product[#Headers],0))</f>
        <v>6500</v>
      </c>
      <c r="W152" s="76">
        <f>INDEX(Product[#All],MATCH(Sales[[#This Row],[Product_ID]],Product[[#All],[Product_ID]],0),MATCH("List_Price",Product[#Headers],0))</f>
        <v>9000</v>
      </c>
      <c r="X152" s="78">
        <f>Sales[[#This Row],[Quantity]]*(Sales[[#This Row],[List_Price]]*(1-Sales[[#This Row],[Discount]]))</f>
        <v>9000</v>
      </c>
      <c r="Y152" s="150">
        <f>Sales[[#This Row],[Profit]]/Sales[[#This Row],[Cost_Amount]]</f>
        <v>0.38461538461538464</v>
      </c>
    </row>
    <row r="153" spans="1:25" x14ac:dyDescent="0.25">
      <c r="A153" s="17" t="s">
        <v>351</v>
      </c>
      <c r="B153" s="6">
        <v>45725</v>
      </c>
      <c r="C153" s="100">
        <f>MONTH(Sales[[#This Row],[Sale_Date]])</f>
        <v>3</v>
      </c>
      <c r="D153" s="100" t="str">
        <f t="shared" si="2"/>
        <v>March</v>
      </c>
      <c r="E153" s="4" t="s">
        <v>55</v>
      </c>
      <c r="F153" s="4" t="s">
        <v>305</v>
      </c>
      <c r="G153" s="4" t="s">
        <v>57</v>
      </c>
      <c r="H153" s="7">
        <v>6</v>
      </c>
      <c r="I153" s="40">
        <v>0.08</v>
      </c>
      <c r="J153" s="7">
        <v>28704</v>
      </c>
      <c r="K153" s="33">
        <v>21000</v>
      </c>
      <c r="L153" s="7">
        <v>7704</v>
      </c>
      <c r="M153" s="4" t="s">
        <v>34</v>
      </c>
      <c r="N153" s="18" t="s">
        <v>35</v>
      </c>
      <c r="O153" t="s">
        <v>584</v>
      </c>
      <c r="P153" t="s">
        <v>579</v>
      </c>
      <c r="Q153" t="s">
        <v>413</v>
      </c>
      <c r="R153" t="s">
        <v>398</v>
      </c>
      <c r="S153" t="s">
        <v>399</v>
      </c>
      <c r="T153" t="s">
        <v>477</v>
      </c>
      <c r="U153" t="str">
        <f>INDEX(Product[#All],MATCH(Sales[[#This Row],[Product_ID]],Product[[#All],[Product_ID]],0),MATCH(Sales[[#Headers],[Category]],Product[#Headers],0))</f>
        <v>Operations</v>
      </c>
      <c r="V153" s="76">
        <f>INDEX(Product[#All],MATCH(Sales[[#This Row],[Product_ID]],Product[[#All],[Product_ID]],0),MATCH(Sales[[#Headers],[Unit_Cost]],Product[#Headers],0))</f>
        <v>3500</v>
      </c>
      <c r="W153" s="76">
        <f>INDEX(Product[#All],MATCH(Sales[[#This Row],[Product_ID]],Product[[#All],[Product_ID]],0),MATCH("List_Price",Product[#Headers],0))</f>
        <v>5200</v>
      </c>
      <c r="X153" s="78">
        <f>Sales[[#This Row],[Quantity]]*(Sales[[#This Row],[List_Price]]*(1-Sales[[#This Row],[Discount]]))</f>
        <v>28704</v>
      </c>
      <c r="Y153" s="150">
        <f>Sales[[#This Row],[Profit]]/Sales[[#This Row],[Cost_Amount]]</f>
        <v>0.36685714285714288</v>
      </c>
    </row>
    <row r="154" spans="1:25" x14ac:dyDescent="0.25">
      <c r="A154" s="17" t="s">
        <v>352</v>
      </c>
      <c r="B154" s="6">
        <v>45765</v>
      </c>
      <c r="C154" s="100">
        <f>MONTH(Sales[[#This Row],[Sale_Date]])</f>
        <v>4</v>
      </c>
      <c r="D154" s="100" t="str">
        <f t="shared" si="2"/>
        <v>April</v>
      </c>
      <c r="E154" s="4" t="s">
        <v>299</v>
      </c>
      <c r="F154" s="4" t="s">
        <v>185</v>
      </c>
      <c r="G154" s="4" t="s">
        <v>121</v>
      </c>
      <c r="H154" s="7">
        <v>14</v>
      </c>
      <c r="I154" s="40">
        <v>0</v>
      </c>
      <c r="J154" s="7">
        <v>50400</v>
      </c>
      <c r="K154" s="33">
        <v>33600</v>
      </c>
      <c r="L154" s="7">
        <v>16800</v>
      </c>
      <c r="M154" s="4" t="s">
        <v>102</v>
      </c>
      <c r="N154" s="18" t="s">
        <v>35</v>
      </c>
      <c r="O154" t="s">
        <v>505</v>
      </c>
      <c r="P154" t="s">
        <v>485</v>
      </c>
      <c r="Q154" t="s">
        <v>448</v>
      </c>
      <c r="R154" t="s">
        <v>394</v>
      </c>
      <c r="S154" t="s">
        <v>402</v>
      </c>
      <c r="T154" t="s">
        <v>476</v>
      </c>
      <c r="U154" t="str">
        <f>INDEX(Product[#All],MATCH(Sales[[#This Row],[Product_ID]],Product[[#All],[Product_ID]],0),MATCH(Sales[[#Headers],[Category]],Product[#Headers],0))</f>
        <v>IT Equipment</v>
      </c>
      <c r="V154" s="76">
        <f>INDEX(Product[#All],MATCH(Sales[[#This Row],[Product_ID]],Product[[#All],[Product_ID]],0),MATCH(Sales[[#Headers],[Unit_Cost]],Product[#Headers],0))</f>
        <v>2400</v>
      </c>
      <c r="W154" s="76">
        <f>INDEX(Product[#All],MATCH(Sales[[#This Row],[Product_ID]],Product[[#All],[Product_ID]],0),MATCH("List_Price",Product[#Headers],0))</f>
        <v>3600</v>
      </c>
      <c r="X154" s="78">
        <f>Sales[[#This Row],[Quantity]]*(Sales[[#This Row],[List_Price]]*(1-Sales[[#This Row],[Discount]]))</f>
        <v>50400</v>
      </c>
      <c r="Y154" s="150">
        <f>Sales[[#This Row],[Profit]]/Sales[[#This Row],[Cost_Amount]]</f>
        <v>0.5</v>
      </c>
    </row>
    <row r="155" spans="1:25" x14ac:dyDescent="0.25">
      <c r="A155" s="17" t="s">
        <v>353</v>
      </c>
      <c r="B155" s="6">
        <v>45833</v>
      </c>
      <c r="C155" s="100">
        <f>MONTH(Sales[[#This Row],[Sale_Date]])</f>
        <v>6</v>
      </c>
      <c r="D155" s="100" t="str">
        <f t="shared" si="2"/>
        <v>June</v>
      </c>
      <c r="E155" s="4" t="s">
        <v>154</v>
      </c>
      <c r="F155" s="4" t="s">
        <v>185</v>
      </c>
      <c r="G155" s="4" t="s">
        <v>53</v>
      </c>
      <c r="H155" s="7">
        <v>5</v>
      </c>
      <c r="I155" s="40">
        <v>0.08</v>
      </c>
      <c r="J155" s="7">
        <v>19320</v>
      </c>
      <c r="K155" s="33">
        <v>14000</v>
      </c>
      <c r="L155" s="7">
        <v>5320</v>
      </c>
      <c r="M155" s="4" t="s">
        <v>102</v>
      </c>
      <c r="N155" s="18" t="s">
        <v>35</v>
      </c>
      <c r="O155" t="s">
        <v>546</v>
      </c>
      <c r="P155" t="s">
        <v>547</v>
      </c>
      <c r="Q155" t="s">
        <v>448</v>
      </c>
      <c r="R155" t="s">
        <v>394</v>
      </c>
      <c r="S155" t="s">
        <v>402</v>
      </c>
      <c r="T155" t="s">
        <v>473</v>
      </c>
      <c r="U155" t="str">
        <f>INDEX(Product[#All],MATCH(Sales[[#This Row],[Product_ID]],Product[[#All],[Product_ID]],0),MATCH(Sales[[#Headers],[Category]],Product[#Headers],0))</f>
        <v>IT Equipment</v>
      </c>
      <c r="V155" s="76">
        <f>INDEX(Product[#All],MATCH(Sales[[#This Row],[Product_ID]],Product[[#All],[Product_ID]],0),MATCH(Sales[[#Headers],[Unit_Cost]],Product[#Headers],0))</f>
        <v>2800</v>
      </c>
      <c r="W155" s="76">
        <f>INDEX(Product[#All],MATCH(Sales[[#This Row],[Product_ID]],Product[[#All],[Product_ID]],0),MATCH("List_Price",Product[#Headers],0))</f>
        <v>4200</v>
      </c>
      <c r="X155" s="78">
        <f>Sales[[#This Row],[Quantity]]*(Sales[[#This Row],[List_Price]]*(1-Sales[[#This Row],[Discount]]))</f>
        <v>19320</v>
      </c>
      <c r="Y155" s="150">
        <f>Sales[[#This Row],[Profit]]/Sales[[#This Row],[Cost_Amount]]</f>
        <v>0.38</v>
      </c>
    </row>
    <row r="156" spans="1:25" x14ac:dyDescent="0.25">
      <c r="A156" s="17" t="s">
        <v>354</v>
      </c>
      <c r="B156" s="6">
        <v>45695</v>
      </c>
      <c r="C156" s="100">
        <f>MONTH(Sales[[#This Row],[Sale_Date]])</f>
        <v>2</v>
      </c>
      <c r="D156" s="100" t="str">
        <f t="shared" si="2"/>
        <v>February</v>
      </c>
      <c r="E156" s="4" t="s">
        <v>355</v>
      </c>
      <c r="F156" s="4" t="s">
        <v>136</v>
      </c>
      <c r="G156" s="4" t="s">
        <v>99</v>
      </c>
      <c r="H156" s="7">
        <v>13</v>
      </c>
      <c r="I156" s="40">
        <v>0</v>
      </c>
      <c r="J156" s="7">
        <v>494000</v>
      </c>
      <c r="K156" s="33">
        <v>390000</v>
      </c>
      <c r="L156" s="7">
        <v>104000</v>
      </c>
      <c r="M156" s="4" t="s">
        <v>34</v>
      </c>
      <c r="N156" s="18" t="s">
        <v>35</v>
      </c>
      <c r="O156" t="s">
        <v>507</v>
      </c>
      <c r="P156" t="s">
        <v>485</v>
      </c>
      <c r="Q156" t="s">
        <v>418</v>
      </c>
      <c r="R156" t="s">
        <v>398</v>
      </c>
      <c r="S156" t="s">
        <v>402</v>
      </c>
      <c r="T156" t="s">
        <v>457</v>
      </c>
      <c r="U156" t="str">
        <f>INDEX(Product[#All],MATCH(Sales[[#This Row],[Product_ID]],Product[[#All],[Product_ID]],0),MATCH(Sales[[#Headers],[Category]],Product[#Headers],0))</f>
        <v>IT Equipment</v>
      </c>
      <c r="V156" s="76">
        <f>INDEX(Product[#All],MATCH(Sales[[#This Row],[Product_ID]],Product[[#All],[Product_ID]],0),MATCH(Sales[[#Headers],[Unit_Cost]],Product[#Headers],0))</f>
        <v>30000</v>
      </c>
      <c r="W156" s="76">
        <f>INDEX(Product[#All],MATCH(Sales[[#This Row],[Product_ID]],Product[[#All],[Product_ID]],0),MATCH("List_Price",Product[#Headers],0))</f>
        <v>38000</v>
      </c>
      <c r="X156" s="78">
        <f>Sales[[#This Row],[Quantity]]*(Sales[[#This Row],[List_Price]]*(1-Sales[[#This Row],[Discount]]))</f>
        <v>494000</v>
      </c>
      <c r="Y156" s="150">
        <f>Sales[[#This Row],[Profit]]/Sales[[#This Row],[Cost_Amount]]</f>
        <v>0.26666666666666666</v>
      </c>
    </row>
    <row r="157" spans="1:25" x14ac:dyDescent="0.25">
      <c r="A157" s="17" t="s">
        <v>356</v>
      </c>
      <c r="B157" s="6">
        <v>45819</v>
      </c>
      <c r="C157" s="100">
        <f>MONTH(Sales[[#This Row],[Sale_Date]])</f>
        <v>6</v>
      </c>
      <c r="D157" s="100" t="str">
        <f t="shared" si="2"/>
        <v>June</v>
      </c>
      <c r="E157" s="4" t="s">
        <v>342</v>
      </c>
      <c r="F157" s="4" t="s">
        <v>56</v>
      </c>
      <c r="G157" s="4" t="s">
        <v>145</v>
      </c>
      <c r="H157" s="7">
        <v>16</v>
      </c>
      <c r="I157" s="40">
        <v>0</v>
      </c>
      <c r="J157" s="7">
        <v>40000</v>
      </c>
      <c r="K157" s="33">
        <v>25600</v>
      </c>
      <c r="L157" s="7">
        <v>14400</v>
      </c>
      <c r="M157" s="4" t="s">
        <v>63</v>
      </c>
      <c r="N157" s="18" t="s">
        <v>35</v>
      </c>
      <c r="O157" t="s">
        <v>594</v>
      </c>
      <c r="P157" t="s">
        <v>590</v>
      </c>
      <c r="Q157" t="s">
        <v>417</v>
      </c>
      <c r="R157" t="s">
        <v>398</v>
      </c>
      <c r="S157" t="s">
        <v>399</v>
      </c>
      <c r="T157" t="s">
        <v>469</v>
      </c>
      <c r="U157" t="str">
        <f>INDEX(Product[#All],MATCH(Sales[[#This Row],[Product_ID]],Product[[#All],[Product_ID]],0),MATCH(Sales[[#Headers],[Category]],Product[#Headers],0))</f>
        <v>Accessories</v>
      </c>
      <c r="V157" s="76">
        <f>INDEX(Product[#All],MATCH(Sales[[#This Row],[Product_ID]],Product[[#All],[Product_ID]],0),MATCH(Sales[[#Headers],[Unit_Cost]],Product[#Headers],0))</f>
        <v>1600</v>
      </c>
      <c r="W157" s="76">
        <f>INDEX(Product[#All],MATCH(Sales[[#This Row],[Product_ID]],Product[[#All],[Product_ID]],0),MATCH("List_Price",Product[#Headers],0))</f>
        <v>2500</v>
      </c>
      <c r="X157" s="78">
        <f>Sales[[#This Row],[Quantity]]*(Sales[[#This Row],[List_Price]]*(1-Sales[[#This Row],[Discount]]))</f>
        <v>40000</v>
      </c>
      <c r="Y157" s="150">
        <f>Sales[[#This Row],[Profit]]/Sales[[#This Row],[Cost_Amount]]</f>
        <v>0.5625</v>
      </c>
    </row>
    <row r="158" spans="1:25" x14ac:dyDescent="0.25">
      <c r="A158" s="17" t="s">
        <v>357</v>
      </c>
      <c r="B158" s="6">
        <v>45683</v>
      </c>
      <c r="C158" s="100">
        <f>MONTH(Sales[[#This Row],[Sale_Date]])</f>
        <v>1</v>
      </c>
      <c r="D158" s="100" t="str">
        <f t="shared" si="2"/>
        <v>January</v>
      </c>
      <c r="E158" s="4" t="s">
        <v>109</v>
      </c>
      <c r="F158" s="4" t="s">
        <v>98</v>
      </c>
      <c r="G158" s="4" t="s">
        <v>145</v>
      </c>
      <c r="H158" s="7">
        <v>2</v>
      </c>
      <c r="I158" s="40">
        <v>0.05</v>
      </c>
      <c r="J158" s="7">
        <v>4750</v>
      </c>
      <c r="K158" s="33">
        <v>3200</v>
      </c>
      <c r="L158" s="7">
        <v>1550</v>
      </c>
      <c r="M158" s="4" t="s">
        <v>39</v>
      </c>
      <c r="N158" s="18" t="s">
        <v>45</v>
      </c>
      <c r="O158" t="s">
        <v>583</v>
      </c>
      <c r="P158" t="s">
        <v>579</v>
      </c>
      <c r="Q158" t="s">
        <v>428</v>
      </c>
      <c r="R158" t="s">
        <v>409</v>
      </c>
      <c r="S158" t="s">
        <v>399</v>
      </c>
      <c r="T158" t="s">
        <v>469</v>
      </c>
      <c r="U158" t="str">
        <f>INDEX(Product[#All],MATCH(Sales[[#This Row],[Product_ID]],Product[[#All],[Product_ID]],0),MATCH(Sales[[#Headers],[Category]],Product[#Headers],0))</f>
        <v>Accessories</v>
      </c>
      <c r="V158" s="76">
        <f>INDEX(Product[#All],MATCH(Sales[[#This Row],[Product_ID]],Product[[#All],[Product_ID]],0),MATCH(Sales[[#Headers],[Unit_Cost]],Product[#Headers],0))</f>
        <v>1600</v>
      </c>
      <c r="W158" s="76">
        <f>INDEX(Product[#All],MATCH(Sales[[#This Row],[Product_ID]],Product[[#All],[Product_ID]],0),MATCH("List_Price",Product[#Headers],0))</f>
        <v>2500</v>
      </c>
      <c r="X158" s="78">
        <f>Sales[[#This Row],[Quantity]]*(Sales[[#This Row],[List_Price]]*(1-Sales[[#This Row],[Discount]]))</f>
        <v>4750</v>
      </c>
      <c r="Y158" s="150">
        <f>Sales[[#This Row],[Profit]]/Sales[[#This Row],[Cost_Amount]]</f>
        <v>0.484375</v>
      </c>
    </row>
    <row r="159" spans="1:25" x14ac:dyDescent="0.25">
      <c r="A159" s="17" t="s">
        <v>358</v>
      </c>
      <c r="B159" s="6">
        <v>45743</v>
      </c>
      <c r="C159" s="100">
        <f>MONTH(Sales[[#This Row],[Sale_Date]])</f>
        <v>3</v>
      </c>
      <c r="D159" s="100" t="str">
        <f t="shared" si="2"/>
        <v>March</v>
      </c>
      <c r="E159" s="4" t="s">
        <v>359</v>
      </c>
      <c r="F159" s="4" t="s">
        <v>174</v>
      </c>
      <c r="G159" s="4" t="s">
        <v>67</v>
      </c>
      <c r="H159" s="7">
        <v>4</v>
      </c>
      <c r="I159" s="40">
        <v>0.05</v>
      </c>
      <c r="J159" s="7">
        <v>25840</v>
      </c>
      <c r="K159" s="33">
        <v>18000</v>
      </c>
      <c r="L159" s="7">
        <v>7840</v>
      </c>
      <c r="M159" s="4" t="s">
        <v>102</v>
      </c>
      <c r="N159" s="18" t="s">
        <v>35</v>
      </c>
      <c r="O159" t="s">
        <v>494</v>
      </c>
      <c r="P159" t="s">
        <v>485</v>
      </c>
      <c r="Q159" t="s">
        <v>449</v>
      </c>
      <c r="R159" t="s">
        <v>409</v>
      </c>
      <c r="S159" t="s">
        <v>395</v>
      </c>
      <c r="T159" t="s">
        <v>466</v>
      </c>
      <c r="U159" t="str">
        <f>INDEX(Product[#All],MATCH(Sales[[#This Row],[Product_ID]],Product[[#All],[Product_ID]],0),MATCH(Sales[[#Headers],[Category]],Product[#Headers],0))</f>
        <v>IT Equipment</v>
      </c>
      <c r="V159" s="76">
        <f>INDEX(Product[#All],MATCH(Sales[[#This Row],[Product_ID]],Product[[#All],[Product_ID]],0),MATCH(Sales[[#Headers],[Unit_Cost]],Product[#Headers],0))</f>
        <v>4500</v>
      </c>
      <c r="W159" s="76">
        <f>INDEX(Product[#All],MATCH(Sales[[#This Row],[Product_ID]],Product[[#All],[Product_ID]],0),MATCH("List_Price",Product[#Headers],0))</f>
        <v>6800</v>
      </c>
      <c r="X159" s="78">
        <f>Sales[[#This Row],[Quantity]]*(Sales[[#This Row],[List_Price]]*(1-Sales[[#This Row],[Discount]]))</f>
        <v>25840</v>
      </c>
      <c r="Y159" s="150">
        <f>Sales[[#This Row],[Profit]]/Sales[[#This Row],[Cost_Amount]]</f>
        <v>0.43555555555555553</v>
      </c>
    </row>
    <row r="160" spans="1:25" x14ac:dyDescent="0.25">
      <c r="A160" s="17" t="s">
        <v>360</v>
      </c>
      <c r="B160" s="6">
        <v>45747</v>
      </c>
      <c r="C160" s="100">
        <f>MONTH(Sales[[#This Row],[Sale_Date]])</f>
        <v>3</v>
      </c>
      <c r="D160" s="100" t="str">
        <f t="shared" si="2"/>
        <v>March</v>
      </c>
      <c r="E160" s="4" t="s">
        <v>207</v>
      </c>
      <c r="F160" s="4" t="s">
        <v>42</v>
      </c>
      <c r="G160" s="4" t="s">
        <v>91</v>
      </c>
      <c r="H160" s="7">
        <v>14</v>
      </c>
      <c r="I160" s="40">
        <v>0</v>
      </c>
      <c r="J160" s="7">
        <v>47600</v>
      </c>
      <c r="K160" s="33">
        <v>30800</v>
      </c>
      <c r="L160" s="7">
        <v>16800</v>
      </c>
      <c r="M160" s="4" t="s">
        <v>44</v>
      </c>
      <c r="N160" s="18" t="s">
        <v>122</v>
      </c>
      <c r="O160" t="s">
        <v>526</v>
      </c>
      <c r="P160" t="s">
        <v>520</v>
      </c>
      <c r="Q160" t="s">
        <v>440</v>
      </c>
      <c r="R160" t="s">
        <v>394</v>
      </c>
      <c r="S160" t="s">
        <v>395</v>
      </c>
      <c r="T160" t="s">
        <v>467</v>
      </c>
      <c r="U160" t="str">
        <f>INDEX(Product[#All],MATCH(Sales[[#This Row],[Product_ID]],Product[[#All],[Product_ID]],0),MATCH(Sales[[#Headers],[Category]],Product[#Headers],0))</f>
        <v>IT Equipment</v>
      </c>
      <c r="V160" s="76">
        <f>INDEX(Product[#All],MATCH(Sales[[#This Row],[Product_ID]],Product[[#All],[Product_ID]],0),MATCH(Sales[[#Headers],[Unit_Cost]],Product[#Headers],0))</f>
        <v>2200</v>
      </c>
      <c r="W160" s="76">
        <f>INDEX(Product[#All],MATCH(Sales[[#This Row],[Product_ID]],Product[[#All],[Product_ID]],0),MATCH("List_Price",Product[#Headers],0))</f>
        <v>3400</v>
      </c>
      <c r="X160" s="78">
        <f>Sales[[#This Row],[Quantity]]*(Sales[[#This Row],[List_Price]]*(1-Sales[[#This Row],[Discount]]))</f>
        <v>47600</v>
      </c>
      <c r="Y160" s="150">
        <f>Sales[[#This Row],[Profit]]/Sales[[#This Row],[Cost_Amount]]</f>
        <v>0.54545454545454541</v>
      </c>
    </row>
    <row r="161" spans="1:25" x14ac:dyDescent="0.25">
      <c r="A161" s="17" t="s">
        <v>361</v>
      </c>
      <c r="B161" s="6">
        <v>45730</v>
      </c>
      <c r="C161" s="100">
        <f>MONTH(Sales[[#This Row],[Sale_Date]])</f>
        <v>3</v>
      </c>
      <c r="D161" s="100" t="str">
        <f t="shared" si="2"/>
        <v>March</v>
      </c>
      <c r="E161" s="4" t="s">
        <v>239</v>
      </c>
      <c r="F161" s="4" t="s">
        <v>98</v>
      </c>
      <c r="G161" s="4" t="s">
        <v>121</v>
      </c>
      <c r="H161" s="7">
        <v>18</v>
      </c>
      <c r="I161" s="40">
        <v>0</v>
      </c>
      <c r="J161" s="7">
        <v>64800</v>
      </c>
      <c r="K161" s="33">
        <v>43200</v>
      </c>
      <c r="L161" s="7">
        <v>21600</v>
      </c>
      <c r="M161" s="4" t="s">
        <v>39</v>
      </c>
      <c r="N161" s="18" t="s">
        <v>45</v>
      </c>
      <c r="O161" t="s">
        <v>568</v>
      </c>
      <c r="P161" t="s">
        <v>478</v>
      </c>
      <c r="Q161" t="s">
        <v>428</v>
      </c>
      <c r="R161" t="s">
        <v>409</v>
      </c>
      <c r="S161" t="s">
        <v>399</v>
      </c>
      <c r="T161" t="s">
        <v>476</v>
      </c>
      <c r="U161" t="str">
        <f>INDEX(Product[#All],MATCH(Sales[[#This Row],[Product_ID]],Product[[#All],[Product_ID]],0),MATCH(Sales[[#Headers],[Category]],Product[#Headers],0))</f>
        <v>IT Equipment</v>
      </c>
      <c r="V161" s="76">
        <f>INDEX(Product[#All],MATCH(Sales[[#This Row],[Product_ID]],Product[[#All],[Product_ID]],0),MATCH(Sales[[#Headers],[Unit_Cost]],Product[#Headers],0))</f>
        <v>2400</v>
      </c>
      <c r="W161" s="76">
        <f>INDEX(Product[#All],MATCH(Sales[[#This Row],[Product_ID]],Product[[#All],[Product_ID]],0),MATCH("List_Price",Product[#Headers],0))</f>
        <v>3600</v>
      </c>
      <c r="X161" s="78">
        <f>Sales[[#This Row],[Quantity]]*(Sales[[#This Row],[List_Price]]*(1-Sales[[#This Row],[Discount]]))</f>
        <v>64800</v>
      </c>
      <c r="Y161" s="150">
        <f>Sales[[#This Row],[Profit]]/Sales[[#This Row],[Cost_Amount]]</f>
        <v>0.5</v>
      </c>
    </row>
    <row r="162" spans="1:25" x14ac:dyDescent="0.25">
      <c r="A162" s="17" t="s">
        <v>362</v>
      </c>
      <c r="B162" s="6">
        <v>45731</v>
      </c>
      <c r="C162" s="100">
        <f>MONTH(Sales[[#This Row],[Sale_Date]])</f>
        <v>3</v>
      </c>
      <c r="D162" s="100" t="str">
        <f t="shared" si="2"/>
        <v>March</v>
      </c>
      <c r="E162" s="4" t="s">
        <v>345</v>
      </c>
      <c r="F162" s="4" t="s">
        <v>171</v>
      </c>
      <c r="G162" s="4" t="s">
        <v>78</v>
      </c>
      <c r="H162" s="7">
        <v>13</v>
      </c>
      <c r="I162" s="40">
        <v>0.08</v>
      </c>
      <c r="J162" s="7">
        <v>107640</v>
      </c>
      <c r="K162" s="33">
        <v>84500</v>
      </c>
      <c r="L162" s="7">
        <v>23140</v>
      </c>
      <c r="M162" s="4" t="s">
        <v>34</v>
      </c>
      <c r="N162" s="18" t="s">
        <v>35</v>
      </c>
      <c r="O162" t="s">
        <v>543</v>
      </c>
      <c r="P162" t="s">
        <v>535</v>
      </c>
      <c r="Q162" t="s">
        <v>446</v>
      </c>
      <c r="R162" t="s">
        <v>394</v>
      </c>
      <c r="S162" t="s">
        <v>395</v>
      </c>
      <c r="T162" t="s">
        <v>465</v>
      </c>
      <c r="U162" t="str">
        <f>INDEX(Product[#All],MATCH(Sales[[#This Row],[Product_ID]],Product[[#All],[Product_ID]],0),MATCH(Sales[[#Headers],[Category]],Product[#Headers],0))</f>
        <v>Office</v>
      </c>
      <c r="V162" s="76">
        <f>INDEX(Product[#All],MATCH(Sales[[#This Row],[Product_ID]],Product[[#All],[Product_ID]],0),MATCH(Sales[[#Headers],[Unit_Cost]],Product[#Headers],0))</f>
        <v>6500</v>
      </c>
      <c r="W162" s="76">
        <f>INDEX(Product[#All],MATCH(Sales[[#This Row],[Product_ID]],Product[[#All],[Product_ID]],0),MATCH("List_Price",Product[#Headers],0))</f>
        <v>9000</v>
      </c>
      <c r="X162" s="78">
        <f>Sales[[#This Row],[Quantity]]*(Sales[[#This Row],[List_Price]]*(1-Sales[[#This Row],[Discount]]))</f>
        <v>107640</v>
      </c>
      <c r="Y162" s="150">
        <f>Sales[[#This Row],[Profit]]/Sales[[#This Row],[Cost_Amount]]</f>
        <v>0.27384615384615385</v>
      </c>
    </row>
    <row r="163" spans="1:25" x14ac:dyDescent="0.25">
      <c r="A163" s="17" t="s">
        <v>363</v>
      </c>
      <c r="B163" s="6">
        <v>45676</v>
      </c>
      <c r="C163" s="100">
        <f>MONTH(Sales[[#This Row],[Sale_Date]])</f>
        <v>1</v>
      </c>
      <c r="D163" s="100" t="str">
        <f t="shared" si="2"/>
        <v>January</v>
      </c>
      <c r="E163" s="4" t="s">
        <v>364</v>
      </c>
      <c r="F163" s="4" t="s">
        <v>142</v>
      </c>
      <c r="G163" s="4" t="s">
        <v>85</v>
      </c>
      <c r="H163" s="7">
        <v>13</v>
      </c>
      <c r="I163" s="40">
        <v>0.12</v>
      </c>
      <c r="J163" s="7">
        <v>74360</v>
      </c>
      <c r="K163" s="33">
        <v>54600</v>
      </c>
      <c r="L163" s="7">
        <v>19760</v>
      </c>
      <c r="M163" s="4" t="s">
        <v>102</v>
      </c>
      <c r="N163" s="18" t="s">
        <v>35</v>
      </c>
      <c r="O163" t="s">
        <v>522</v>
      </c>
      <c r="P163" t="s">
        <v>520</v>
      </c>
      <c r="Q163" t="s">
        <v>441</v>
      </c>
      <c r="R163" t="s">
        <v>398</v>
      </c>
      <c r="S163" t="s">
        <v>399</v>
      </c>
      <c r="T163" t="s">
        <v>474</v>
      </c>
      <c r="U163" t="str">
        <f>INDEX(Product[#All],MATCH(Sales[[#This Row],[Product_ID]],Product[[#All],[Product_ID]],0),MATCH(Sales[[#Headers],[Category]],Product[#Headers],0))</f>
        <v>Office</v>
      </c>
      <c r="V163" s="76">
        <f>INDEX(Product[#All],MATCH(Sales[[#This Row],[Product_ID]],Product[[#All],[Product_ID]],0),MATCH(Sales[[#Headers],[Unit_Cost]],Product[#Headers],0))</f>
        <v>4200</v>
      </c>
      <c r="W163" s="76">
        <f>INDEX(Product[#All],MATCH(Sales[[#This Row],[Product_ID]],Product[[#All],[Product_ID]],0),MATCH("List_Price",Product[#Headers],0))</f>
        <v>6500</v>
      </c>
      <c r="X163" s="78">
        <f>Sales[[#This Row],[Quantity]]*(Sales[[#This Row],[List_Price]]*(1-Sales[[#This Row],[Discount]]))</f>
        <v>74360</v>
      </c>
      <c r="Y163" s="150">
        <f>Sales[[#This Row],[Profit]]/Sales[[#This Row],[Cost_Amount]]</f>
        <v>0.3619047619047619</v>
      </c>
    </row>
    <row r="164" spans="1:25" x14ac:dyDescent="0.25">
      <c r="A164" s="17" t="s">
        <v>365</v>
      </c>
      <c r="B164" s="6">
        <v>45771</v>
      </c>
      <c r="C164" s="100">
        <f>MONTH(Sales[[#This Row],[Sale_Date]])</f>
        <v>4</v>
      </c>
      <c r="D164" s="100" t="str">
        <f t="shared" si="2"/>
        <v>April</v>
      </c>
      <c r="E164" s="4" t="s">
        <v>111</v>
      </c>
      <c r="F164" s="4" t="s">
        <v>48</v>
      </c>
      <c r="G164" s="4" t="s">
        <v>162</v>
      </c>
      <c r="H164" s="7">
        <v>13</v>
      </c>
      <c r="I164" s="40">
        <v>0.03</v>
      </c>
      <c r="J164" s="7">
        <v>201760</v>
      </c>
      <c r="K164" s="33">
        <v>149500</v>
      </c>
      <c r="L164" s="7">
        <v>52260</v>
      </c>
      <c r="M164" s="4" t="s">
        <v>39</v>
      </c>
      <c r="N164" s="18" t="s">
        <v>122</v>
      </c>
      <c r="O164" t="s">
        <v>509</v>
      </c>
      <c r="P164" t="s">
        <v>485</v>
      </c>
      <c r="Q164" t="s">
        <v>424</v>
      </c>
      <c r="R164" t="s">
        <v>398</v>
      </c>
      <c r="S164" t="s">
        <v>402</v>
      </c>
      <c r="T164" t="s">
        <v>471</v>
      </c>
      <c r="U164" t="str">
        <f>INDEX(Product[#All],MATCH(Sales[[#This Row],[Product_ID]],Product[[#All],[Product_ID]],0),MATCH(Sales[[#Headers],[Category]],Product[#Headers],0))</f>
        <v>Office</v>
      </c>
      <c r="V164" s="76">
        <f>INDEX(Product[#All],MATCH(Sales[[#This Row],[Product_ID]],Product[[#All],[Product_ID]],0),MATCH(Sales[[#Headers],[Unit_Cost]],Product[#Headers],0))</f>
        <v>11500</v>
      </c>
      <c r="W164" s="76">
        <f>INDEX(Product[#All],MATCH(Sales[[#This Row],[Product_ID]],Product[[#All],[Product_ID]],0),MATCH("List_Price",Product[#Headers],0))</f>
        <v>16000</v>
      </c>
      <c r="X164" s="78">
        <f>Sales[[#This Row],[Quantity]]*(Sales[[#This Row],[List_Price]]*(1-Sales[[#This Row],[Discount]]))</f>
        <v>201760</v>
      </c>
      <c r="Y164" s="150">
        <f>Sales[[#This Row],[Profit]]/Sales[[#This Row],[Cost_Amount]]</f>
        <v>0.34956521739130436</v>
      </c>
    </row>
    <row r="165" spans="1:25" x14ac:dyDescent="0.25">
      <c r="A165" s="17" t="s">
        <v>366</v>
      </c>
      <c r="B165" s="6">
        <v>45705</v>
      </c>
      <c r="C165" s="100">
        <f>MONTH(Sales[[#This Row],[Sale_Date]])</f>
        <v>2</v>
      </c>
      <c r="D165" s="100" t="str">
        <f t="shared" si="2"/>
        <v>February</v>
      </c>
      <c r="E165" s="4" t="s">
        <v>367</v>
      </c>
      <c r="F165" s="4" t="s">
        <v>115</v>
      </c>
      <c r="G165" s="4" t="s">
        <v>53</v>
      </c>
      <c r="H165" s="7">
        <v>14</v>
      </c>
      <c r="I165" s="40">
        <v>0</v>
      </c>
      <c r="J165" s="7">
        <v>58800</v>
      </c>
      <c r="K165" s="33">
        <v>39200</v>
      </c>
      <c r="L165" s="7">
        <v>19600</v>
      </c>
      <c r="M165" s="4" t="s">
        <v>44</v>
      </c>
      <c r="N165" s="18" t="s">
        <v>35</v>
      </c>
      <c r="O165" t="s">
        <v>536</v>
      </c>
      <c r="P165" t="s">
        <v>535</v>
      </c>
      <c r="Q165" t="s">
        <v>443</v>
      </c>
      <c r="R165" t="s">
        <v>394</v>
      </c>
      <c r="S165" t="s">
        <v>395</v>
      </c>
      <c r="T165" t="s">
        <v>473</v>
      </c>
      <c r="U165" t="str">
        <f>INDEX(Product[#All],MATCH(Sales[[#This Row],[Product_ID]],Product[[#All],[Product_ID]],0),MATCH(Sales[[#Headers],[Category]],Product[#Headers],0))</f>
        <v>IT Equipment</v>
      </c>
      <c r="V165" s="76">
        <f>INDEX(Product[#All],MATCH(Sales[[#This Row],[Product_ID]],Product[[#All],[Product_ID]],0),MATCH(Sales[[#Headers],[Unit_Cost]],Product[#Headers],0))</f>
        <v>2800</v>
      </c>
      <c r="W165" s="76">
        <f>INDEX(Product[#All],MATCH(Sales[[#This Row],[Product_ID]],Product[[#All],[Product_ID]],0),MATCH("List_Price",Product[#Headers],0))</f>
        <v>4200</v>
      </c>
      <c r="X165" s="78">
        <f>Sales[[#This Row],[Quantity]]*(Sales[[#This Row],[List_Price]]*(1-Sales[[#This Row],[Discount]]))</f>
        <v>58800</v>
      </c>
      <c r="Y165" s="150">
        <f>Sales[[#This Row],[Profit]]/Sales[[#This Row],[Cost_Amount]]</f>
        <v>0.5</v>
      </c>
    </row>
    <row r="166" spans="1:25" x14ac:dyDescent="0.25">
      <c r="A166" s="17" t="s">
        <v>368</v>
      </c>
      <c r="B166" s="6">
        <v>45700</v>
      </c>
      <c r="C166" s="100">
        <f>MONTH(Sales[[#This Row],[Sale_Date]])</f>
        <v>2</v>
      </c>
      <c r="D166" s="100" t="str">
        <f t="shared" si="2"/>
        <v>February</v>
      </c>
      <c r="E166" s="4" t="s">
        <v>322</v>
      </c>
      <c r="F166" s="4" t="s">
        <v>369</v>
      </c>
      <c r="G166" s="4" t="s">
        <v>152</v>
      </c>
      <c r="H166" s="7">
        <v>3</v>
      </c>
      <c r="I166" s="40">
        <v>0</v>
      </c>
      <c r="J166" s="7">
        <v>8400</v>
      </c>
      <c r="K166" s="33">
        <v>5400</v>
      </c>
      <c r="L166" s="7">
        <v>3000</v>
      </c>
      <c r="M166" s="4" t="s">
        <v>44</v>
      </c>
      <c r="N166" s="18" t="s">
        <v>45</v>
      </c>
      <c r="O166" t="s">
        <v>576</v>
      </c>
      <c r="P166" t="s">
        <v>478</v>
      </c>
      <c r="Q166" t="s">
        <v>433</v>
      </c>
      <c r="R166" t="s">
        <v>409</v>
      </c>
      <c r="S166" t="s">
        <v>395</v>
      </c>
      <c r="T166" t="s">
        <v>459</v>
      </c>
      <c r="U166" t="str">
        <f>INDEX(Product[#All],MATCH(Sales[[#This Row],[Product_ID]],Product[[#All],[Product_ID]],0),MATCH(Sales[[#Headers],[Category]],Product[#Headers],0))</f>
        <v>Accessories</v>
      </c>
      <c r="V166" s="76">
        <f>INDEX(Product[#All],MATCH(Sales[[#This Row],[Product_ID]],Product[[#All],[Product_ID]],0),MATCH(Sales[[#Headers],[Unit_Cost]],Product[#Headers],0))</f>
        <v>1800</v>
      </c>
      <c r="W166" s="76">
        <f>INDEX(Product[#All],MATCH(Sales[[#This Row],[Product_ID]],Product[[#All],[Product_ID]],0),MATCH("List_Price",Product[#Headers],0))</f>
        <v>2800</v>
      </c>
      <c r="X166" s="78">
        <f>Sales[[#This Row],[Quantity]]*(Sales[[#This Row],[List_Price]]*(1-Sales[[#This Row],[Discount]]))</f>
        <v>8400</v>
      </c>
      <c r="Y166" s="150">
        <f>Sales[[#This Row],[Profit]]/Sales[[#This Row],[Cost_Amount]]</f>
        <v>0.55555555555555558</v>
      </c>
    </row>
    <row r="167" spans="1:25" x14ac:dyDescent="0.25">
      <c r="A167" s="17" t="s">
        <v>370</v>
      </c>
      <c r="B167" s="6">
        <v>45759</v>
      </c>
      <c r="C167" s="100">
        <f>MONTH(Sales[[#This Row],[Sale_Date]])</f>
        <v>4</v>
      </c>
      <c r="D167" s="100" t="str">
        <f t="shared" si="2"/>
        <v>April</v>
      </c>
      <c r="E167" s="4" t="s">
        <v>371</v>
      </c>
      <c r="F167" s="4" t="s">
        <v>151</v>
      </c>
      <c r="G167" s="4" t="s">
        <v>62</v>
      </c>
      <c r="H167" s="7">
        <v>1</v>
      </c>
      <c r="I167" s="40">
        <v>0.12</v>
      </c>
      <c r="J167" s="7">
        <v>9240</v>
      </c>
      <c r="K167" s="33">
        <v>7500</v>
      </c>
      <c r="L167" s="7">
        <v>1740</v>
      </c>
      <c r="M167" s="4" t="s">
        <v>63</v>
      </c>
      <c r="N167" s="18" t="s">
        <v>122</v>
      </c>
      <c r="O167" t="s">
        <v>586</v>
      </c>
      <c r="P167" t="s">
        <v>579</v>
      </c>
      <c r="Q167" t="s">
        <v>408</v>
      </c>
      <c r="R167" t="s">
        <v>409</v>
      </c>
      <c r="S167" t="s">
        <v>395</v>
      </c>
      <c r="T167" t="s">
        <v>464</v>
      </c>
      <c r="U167" t="str">
        <f>INDEX(Product[#All],MATCH(Sales[[#This Row],[Product_ID]],Product[[#All],[Product_ID]],0),MATCH(Sales[[#Headers],[Category]],Product[#Headers],0))</f>
        <v>Office</v>
      </c>
      <c r="V167" s="76">
        <f>INDEX(Product[#All],MATCH(Sales[[#This Row],[Product_ID]],Product[[#All],[Product_ID]],0),MATCH(Sales[[#Headers],[Unit_Cost]],Product[#Headers],0))</f>
        <v>7500</v>
      </c>
      <c r="W167" s="76">
        <f>INDEX(Product[#All],MATCH(Sales[[#This Row],[Product_ID]],Product[[#All],[Product_ID]],0),MATCH("List_Price",Product[#Headers],0))</f>
        <v>10500</v>
      </c>
      <c r="X167" s="78">
        <f>Sales[[#This Row],[Quantity]]*(Sales[[#This Row],[List_Price]]*(1-Sales[[#This Row],[Discount]]))</f>
        <v>9240</v>
      </c>
      <c r="Y167" s="150">
        <f>Sales[[#This Row],[Profit]]/Sales[[#This Row],[Cost_Amount]]</f>
        <v>0.23200000000000001</v>
      </c>
    </row>
    <row r="168" spans="1:25" x14ac:dyDescent="0.25">
      <c r="A168" s="17" t="s">
        <v>372</v>
      </c>
      <c r="B168" s="6">
        <v>45716</v>
      </c>
      <c r="C168" s="100">
        <f>MONTH(Sales[[#This Row],[Sale_Date]])</f>
        <v>2</v>
      </c>
      <c r="D168" s="100" t="str">
        <f t="shared" si="2"/>
        <v>February</v>
      </c>
      <c r="E168" s="4" t="s">
        <v>211</v>
      </c>
      <c r="F168" s="4" t="s">
        <v>231</v>
      </c>
      <c r="G168" s="4" t="s">
        <v>62</v>
      </c>
      <c r="H168" s="7">
        <v>13</v>
      </c>
      <c r="I168" s="40">
        <v>0.03</v>
      </c>
      <c r="J168" s="7">
        <v>132405</v>
      </c>
      <c r="K168" s="33">
        <v>97500</v>
      </c>
      <c r="L168" s="7">
        <v>34905</v>
      </c>
      <c r="M168" s="4" t="s">
        <v>44</v>
      </c>
      <c r="N168" s="18" t="s">
        <v>35</v>
      </c>
      <c r="O168" t="s">
        <v>514</v>
      </c>
      <c r="P168" t="s">
        <v>485</v>
      </c>
      <c r="Q168" t="s">
        <v>438</v>
      </c>
      <c r="R168" t="s">
        <v>394</v>
      </c>
      <c r="S168" t="s">
        <v>395</v>
      </c>
      <c r="T168" t="s">
        <v>464</v>
      </c>
      <c r="U168" t="str">
        <f>INDEX(Product[#All],MATCH(Sales[[#This Row],[Product_ID]],Product[[#All],[Product_ID]],0),MATCH(Sales[[#Headers],[Category]],Product[#Headers],0))</f>
        <v>Office</v>
      </c>
      <c r="V168" s="76">
        <f>INDEX(Product[#All],MATCH(Sales[[#This Row],[Product_ID]],Product[[#All],[Product_ID]],0),MATCH(Sales[[#Headers],[Unit_Cost]],Product[#Headers],0))</f>
        <v>7500</v>
      </c>
      <c r="W168" s="76">
        <f>INDEX(Product[#All],MATCH(Sales[[#This Row],[Product_ID]],Product[[#All],[Product_ID]],0),MATCH("List_Price",Product[#Headers],0))</f>
        <v>10500</v>
      </c>
      <c r="X168" s="78">
        <f>Sales[[#This Row],[Quantity]]*(Sales[[#This Row],[List_Price]]*(1-Sales[[#This Row],[Discount]]))</f>
        <v>132405</v>
      </c>
      <c r="Y168" s="150">
        <f>Sales[[#This Row],[Profit]]/Sales[[#This Row],[Cost_Amount]]</f>
        <v>0.35799999999999998</v>
      </c>
    </row>
    <row r="169" spans="1:25" x14ac:dyDescent="0.25">
      <c r="A169" s="17" t="s">
        <v>373</v>
      </c>
      <c r="B169" s="6">
        <v>45666</v>
      </c>
      <c r="C169" s="100">
        <f>MONTH(Sales[[#This Row],[Sale_Date]])</f>
        <v>1</v>
      </c>
      <c r="D169" s="100" t="str">
        <f t="shared" si="2"/>
        <v>January</v>
      </c>
      <c r="E169" s="4" t="s">
        <v>76</v>
      </c>
      <c r="F169" s="4" t="s">
        <v>314</v>
      </c>
      <c r="G169" s="4" t="s">
        <v>67</v>
      </c>
      <c r="H169" s="7">
        <v>6</v>
      </c>
      <c r="I169" s="40">
        <v>0</v>
      </c>
      <c r="J169" s="7">
        <v>40800</v>
      </c>
      <c r="K169" s="33">
        <v>27000</v>
      </c>
      <c r="L169" s="7">
        <v>13800</v>
      </c>
      <c r="M169" s="4" t="s">
        <v>102</v>
      </c>
      <c r="N169" s="18" t="s">
        <v>45</v>
      </c>
      <c r="O169" t="s">
        <v>497</v>
      </c>
      <c r="P169" t="s">
        <v>485</v>
      </c>
      <c r="Q169" t="s">
        <v>445</v>
      </c>
      <c r="R169" t="s">
        <v>398</v>
      </c>
      <c r="S169" t="s">
        <v>399</v>
      </c>
      <c r="T169" t="s">
        <v>466</v>
      </c>
      <c r="U169" t="str">
        <f>INDEX(Product[#All],MATCH(Sales[[#This Row],[Product_ID]],Product[[#All],[Product_ID]],0),MATCH(Sales[[#Headers],[Category]],Product[#Headers],0))</f>
        <v>IT Equipment</v>
      </c>
      <c r="V169" s="76">
        <f>INDEX(Product[#All],MATCH(Sales[[#This Row],[Product_ID]],Product[[#All],[Product_ID]],0),MATCH(Sales[[#Headers],[Unit_Cost]],Product[#Headers],0))</f>
        <v>4500</v>
      </c>
      <c r="W169" s="76">
        <f>INDEX(Product[#All],MATCH(Sales[[#This Row],[Product_ID]],Product[[#All],[Product_ID]],0),MATCH("List_Price",Product[#Headers],0))</f>
        <v>6800</v>
      </c>
      <c r="X169" s="78">
        <f>Sales[[#This Row],[Quantity]]*(Sales[[#This Row],[List_Price]]*(1-Sales[[#This Row],[Discount]]))</f>
        <v>40800</v>
      </c>
      <c r="Y169" s="150">
        <f>Sales[[#This Row],[Profit]]/Sales[[#This Row],[Cost_Amount]]</f>
        <v>0.51111111111111107</v>
      </c>
    </row>
    <row r="170" spans="1:25" x14ac:dyDescent="0.25">
      <c r="A170" s="17" t="s">
        <v>374</v>
      </c>
      <c r="B170" s="6">
        <v>45798</v>
      </c>
      <c r="C170" s="100">
        <f>MONTH(Sales[[#This Row],[Sale_Date]])</f>
        <v>5</v>
      </c>
      <c r="D170" s="100" t="str">
        <f t="shared" si="2"/>
        <v>May</v>
      </c>
      <c r="E170" s="4" t="s">
        <v>73</v>
      </c>
      <c r="F170" s="4" t="s">
        <v>133</v>
      </c>
      <c r="G170" s="4" t="s">
        <v>116</v>
      </c>
      <c r="H170" s="7">
        <v>18</v>
      </c>
      <c r="I170" s="40">
        <v>0.03</v>
      </c>
      <c r="J170" s="7">
        <v>209520</v>
      </c>
      <c r="K170" s="33">
        <v>153000</v>
      </c>
      <c r="L170" s="7">
        <v>56520</v>
      </c>
      <c r="M170" s="4" t="s">
        <v>39</v>
      </c>
      <c r="N170" s="18" t="s">
        <v>35</v>
      </c>
      <c r="O170" t="s">
        <v>518</v>
      </c>
      <c r="P170" t="s">
        <v>485</v>
      </c>
      <c r="Q170" t="s">
        <v>412</v>
      </c>
      <c r="R170" t="s">
        <v>398</v>
      </c>
      <c r="S170" t="s">
        <v>402</v>
      </c>
      <c r="T170" t="s">
        <v>458</v>
      </c>
      <c r="U170" t="str">
        <f>INDEX(Product[#All],MATCH(Sales[[#This Row],[Product_ID]],Product[[#All],[Product_ID]],0),MATCH(Sales[[#Headers],[Category]],Product[#Headers],0))</f>
        <v>IT Equipment</v>
      </c>
      <c r="V170" s="76">
        <f>INDEX(Product[#All],MATCH(Sales[[#This Row],[Product_ID]],Product[[#All],[Product_ID]],0),MATCH(Sales[[#Headers],[Unit_Cost]],Product[#Headers],0))</f>
        <v>8500</v>
      </c>
      <c r="W170" s="76">
        <f>INDEX(Product[#All],MATCH(Sales[[#This Row],[Product_ID]],Product[[#All],[Product_ID]],0),MATCH("List_Price",Product[#Headers],0))</f>
        <v>12000</v>
      </c>
      <c r="X170" s="78">
        <f>Sales[[#This Row],[Quantity]]*(Sales[[#This Row],[List_Price]]*(1-Sales[[#This Row],[Discount]]))</f>
        <v>209520</v>
      </c>
      <c r="Y170" s="150">
        <f>Sales[[#This Row],[Profit]]/Sales[[#This Row],[Cost_Amount]]</f>
        <v>0.36941176470588233</v>
      </c>
    </row>
    <row r="171" spans="1:25" x14ac:dyDescent="0.25">
      <c r="A171" s="17" t="s">
        <v>375</v>
      </c>
      <c r="B171" s="6">
        <v>45820</v>
      </c>
      <c r="C171" s="100">
        <f>MONTH(Sales[[#This Row],[Sale_Date]])</f>
        <v>6</v>
      </c>
      <c r="D171" s="100" t="str">
        <f t="shared" si="2"/>
        <v>June</v>
      </c>
      <c r="E171" s="4" t="s">
        <v>216</v>
      </c>
      <c r="F171" s="4" t="s">
        <v>202</v>
      </c>
      <c r="G171" s="4" t="s">
        <v>162</v>
      </c>
      <c r="H171" s="7">
        <v>15</v>
      </c>
      <c r="I171" s="40">
        <v>0.1</v>
      </c>
      <c r="J171" s="7">
        <v>216000</v>
      </c>
      <c r="K171" s="33">
        <v>172500</v>
      </c>
      <c r="L171" s="7">
        <v>43500</v>
      </c>
      <c r="M171" s="4" t="s">
        <v>102</v>
      </c>
      <c r="N171" s="18" t="s">
        <v>122</v>
      </c>
      <c r="O171" t="s">
        <v>589</v>
      </c>
      <c r="P171" t="s">
        <v>590</v>
      </c>
      <c r="Q171" t="s">
        <v>420</v>
      </c>
      <c r="R171" t="s">
        <v>409</v>
      </c>
      <c r="S171" t="s">
        <v>395</v>
      </c>
      <c r="T171" t="s">
        <v>471</v>
      </c>
      <c r="U171" t="str">
        <f>INDEX(Product[#All],MATCH(Sales[[#This Row],[Product_ID]],Product[[#All],[Product_ID]],0),MATCH(Sales[[#Headers],[Category]],Product[#Headers],0))</f>
        <v>Office</v>
      </c>
      <c r="V171" s="76">
        <f>INDEX(Product[#All],MATCH(Sales[[#This Row],[Product_ID]],Product[[#All],[Product_ID]],0),MATCH(Sales[[#Headers],[Unit_Cost]],Product[#Headers],0))</f>
        <v>11500</v>
      </c>
      <c r="W171" s="76">
        <f>INDEX(Product[#All],MATCH(Sales[[#This Row],[Product_ID]],Product[[#All],[Product_ID]],0),MATCH("List_Price",Product[#Headers],0))</f>
        <v>16000</v>
      </c>
      <c r="X171" s="78">
        <f>Sales[[#This Row],[Quantity]]*(Sales[[#This Row],[List_Price]]*(1-Sales[[#This Row],[Discount]]))</f>
        <v>216000</v>
      </c>
      <c r="Y171" s="150">
        <f>Sales[[#This Row],[Profit]]/Sales[[#This Row],[Cost_Amount]]</f>
        <v>0.25217391304347825</v>
      </c>
    </row>
    <row r="172" spans="1:25" x14ac:dyDescent="0.25">
      <c r="A172" s="17" t="s">
        <v>376</v>
      </c>
      <c r="B172" s="6">
        <v>45796</v>
      </c>
      <c r="C172" s="100">
        <f>MONTH(Sales[[#This Row],[Sale_Date]])</f>
        <v>5</v>
      </c>
      <c r="D172" s="100" t="str">
        <f t="shared" si="2"/>
        <v>May</v>
      </c>
      <c r="E172" s="4" t="s">
        <v>170</v>
      </c>
      <c r="F172" s="4" t="s">
        <v>219</v>
      </c>
      <c r="G172" s="4" t="s">
        <v>57</v>
      </c>
      <c r="H172" s="7">
        <v>12</v>
      </c>
      <c r="I172" s="40">
        <v>0.05</v>
      </c>
      <c r="J172" s="7">
        <v>59280</v>
      </c>
      <c r="K172" s="33">
        <v>42000</v>
      </c>
      <c r="L172" s="7">
        <v>17280</v>
      </c>
      <c r="M172" s="4" t="s">
        <v>63</v>
      </c>
      <c r="N172" s="18" t="s">
        <v>45</v>
      </c>
      <c r="O172" t="s">
        <v>558</v>
      </c>
      <c r="P172" t="s">
        <v>478</v>
      </c>
      <c r="Q172" t="s">
        <v>416</v>
      </c>
      <c r="R172" t="s">
        <v>409</v>
      </c>
      <c r="S172" t="s">
        <v>399</v>
      </c>
      <c r="T172" t="s">
        <v>477</v>
      </c>
      <c r="U172" t="str">
        <f>INDEX(Product[#All],MATCH(Sales[[#This Row],[Product_ID]],Product[[#All],[Product_ID]],0),MATCH(Sales[[#Headers],[Category]],Product[#Headers],0))</f>
        <v>Operations</v>
      </c>
      <c r="V172" s="76">
        <f>INDEX(Product[#All],MATCH(Sales[[#This Row],[Product_ID]],Product[[#All],[Product_ID]],0),MATCH(Sales[[#Headers],[Unit_Cost]],Product[#Headers],0))</f>
        <v>3500</v>
      </c>
      <c r="W172" s="76">
        <f>INDEX(Product[#All],MATCH(Sales[[#This Row],[Product_ID]],Product[[#All],[Product_ID]],0),MATCH("List_Price",Product[#Headers],0))</f>
        <v>5200</v>
      </c>
      <c r="X172" s="78">
        <f>Sales[[#This Row],[Quantity]]*(Sales[[#This Row],[List_Price]]*(1-Sales[[#This Row],[Discount]]))</f>
        <v>59280</v>
      </c>
      <c r="Y172" s="150">
        <f>Sales[[#This Row],[Profit]]/Sales[[#This Row],[Cost_Amount]]</f>
        <v>0.41142857142857142</v>
      </c>
    </row>
    <row r="173" spans="1:25" x14ac:dyDescent="0.25">
      <c r="A173" s="17" t="s">
        <v>377</v>
      </c>
      <c r="B173" s="6">
        <v>45658</v>
      </c>
      <c r="C173" s="100">
        <f>MONTH(Sales[[#This Row],[Sale_Date]])</f>
        <v>1</v>
      </c>
      <c r="D173" s="100" t="str">
        <f t="shared" si="2"/>
        <v>January</v>
      </c>
      <c r="E173" s="4" t="s">
        <v>135</v>
      </c>
      <c r="F173" s="4" t="s">
        <v>112</v>
      </c>
      <c r="G173" s="4" t="s">
        <v>67</v>
      </c>
      <c r="H173" s="7">
        <v>10</v>
      </c>
      <c r="I173" s="40">
        <v>0</v>
      </c>
      <c r="J173" s="7">
        <v>68000</v>
      </c>
      <c r="K173" s="33">
        <v>45000</v>
      </c>
      <c r="L173" s="7">
        <v>23000</v>
      </c>
      <c r="M173" s="4" t="s">
        <v>102</v>
      </c>
      <c r="N173" s="18" t="s">
        <v>35</v>
      </c>
      <c r="O173" t="s">
        <v>557</v>
      </c>
      <c r="P173" t="s">
        <v>478</v>
      </c>
      <c r="Q173" t="s">
        <v>400</v>
      </c>
      <c r="R173" t="s">
        <v>398</v>
      </c>
      <c r="S173" t="s">
        <v>399</v>
      </c>
      <c r="T173" t="s">
        <v>466</v>
      </c>
      <c r="U173" t="str">
        <f>INDEX(Product[#All],MATCH(Sales[[#This Row],[Product_ID]],Product[[#All],[Product_ID]],0),MATCH(Sales[[#Headers],[Category]],Product[#Headers],0))</f>
        <v>IT Equipment</v>
      </c>
      <c r="V173" s="76">
        <f>INDEX(Product[#All],MATCH(Sales[[#This Row],[Product_ID]],Product[[#All],[Product_ID]],0),MATCH(Sales[[#Headers],[Unit_Cost]],Product[#Headers],0))</f>
        <v>4500</v>
      </c>
      <c r="W173" s="76">
        <f>INDEX(Product[#All],MATCH(Sales[[#This Row],[Product_ID]],Product[[#All],[Product_ID]],0),MATCH("List_Price",Product[#Headers],0))</f>
        <v>6800</v>
      </c>
      <c r="X173" s="78">
        <f>Sales[[#This Row],[Quantity]]*(Sales[[#This Row],[List_Price]]*(1-Sales[[#This Row],[Discount]]))</f>
        <v>68000</v>
      </c>
      <c r="Y173" s="150">
        <f>Sales[[#This Row],[Profit]]/Sales[[#This Row],[Cost_Amount]]</f>
        <v>0.51111111111111107</v>
      </c>
    </row>
    <row r="174" spans="1:25" x14ac:dyDescent="0.25">
      <c r="A174" s="17" t="s">
        <v>378</v>
      </c>
      <c r="B174" s="6">
        <v>45783</v>
      </c>
      <c r="C174" s="100">
        <f>MONTH(Sales[[#This Row],[Sale_Date]])</f>
        <v>5</v>
      </c>
      <c r="D174" s="100" t="str">
        <f t="shared" si="2"/>
        <v>May</v>
      </c>
      <c r="E174" s="4" t="s">
        <v>189</v>
      </c>
      <c r="F174" s="4" t="s">
        <v>133</v>
      </c>
      <c r="G174" s="4" t="s">
        <v>71</v>
      </c>
      <c r="H174" s="7">
        <v>1</v>
      </c>
      <c r="I174" s="40">
        <v>0.1</v>
      </c>
      <c r="J174" s="7">
        <v>6480</v>
      </c>
      <c r="K174" s="33">
        <v>4800</v>
      </c>
      <c r="L174" s="7">
        <v>1680</v>
      </c>
      <c r="M174" s="4" t="s">
        <v>39</v>
      </c>
      <c r="N174" s="18" t="s">
        <v>45</v>
      </c>
      <c r="O174" t="s">
        <v>533</v>
      </c>
      <c r="P174" t="s">
        <v>520</v>
      </c>
      <c r="Q174" t="s">
        <v>412</v>
      </c>
      <c r="R174" t="s">
        <v>398</v>
      </c>
      <c r="S174" t="s">
        <v>402</v>
      </c>
      <c r="T174" t="s">
        <v>462</v>
      </c>
      <c r="U174" t="str">
        <f>INDEX(Product[#All],MATCH(Sales[[#This Row],[Product_ID]],Product[[#All],[Product_ID]],0),MATCH(Sales[[#Headers],[Category]],Product[#Headers],0))</f>
        <v>Office</v>
      </c>
      <c r="V174" s="76">
        <f>INDEX(Product[#All],MATCH(Sales[[#This Row],[Product_ID]],Product[[#All],[Product_ID]],0),MATCH(Sales[[#Headers],[Unit_Cost]],Product[#Headers],0))</f>
        <v>4800</v>
      </c>
      <c r="W174" s="76">
        <f>INDEX(Product[#All],MATCH(Sales[[#This Row],[Product_ID]],Product[[#All],[Product_ID]],0),MATCH("List_Price",Product[#Headers],0))</f>
        <v>7200</v>
      </c>
      <c r="X174" s="78">
        <f>Sales[[#This Row],[Quantity]]*(Sales[[#This Row],[List_Price]]*(1-Sales[[#This Row],[Discount]]))</f>
        <v>6480</v>
      </c>
      <c r="Y174" s="150">
        <f>Sales[[#This Row],[Profit]]/Sales[[#This Row],[Cost_Amount]]</f>
        <v>0.35</v>
      </c>
    </row>
    <row r="175" spans="1:25" x14ac:dyDescent="0.25">
      <c r="A175" s="17" t="s">
        <v>379</v>
      </c>
      <c r="B175" s="6">
        <v>45659</v>
      </c>
      <c r="C175" s="100">
        <f>MONTH(Sales[[#This Row],[Sale_Date]])</f>
        <v>1</v>
      </c>
      <c r="D175" s="100" t="str">
        <f t="shared" si="2"/>
        <v>January</v>
      </c>
      <c r="E175" s="4" t="s">
        <v>168</v>
      </c>
      <c r="F175" s="4" t="s">
        <v>120</v>
      </c>
      <c r="G175" s="4" t="s">
        <v>91</v>
      </c>
      <c r="H175" s="7">
        <v>8</v>
      </c>
      <c r="I175" s="40">
        <v>0.12</v>
      </c>
      <c r="J175" s="7">
        <v>23936</v>
      </c>
      <c r="K175" s="33">
        <v>17600</v>
      </c>
      <c r="L175" s="7">
        <v>6336</v>
      </c>
      <c r="M175" s="4" t="s">
        <v>44</v>
      </c>
      <c r="N175" s="18" t="s">
        <v>45</v>
      </c>
      <c r="O175" t="s">
        <v>510</v>
      </c>
      <c r="P175" t="s">
        <v>485</v>
      </c>
      <c r="Q175" t="s">
        <v>419</v>
      </c>
      <c r="R175" t="s">
        <v>394</v>
      </c>
      <c r="S175" t="s">
        <v>402</v>
      </c>
      <c r="T175" t="s">
        <v>467</v>
      </c>
      <c r="U175" t="str">
        <f>INDEX(Product[#All],MATCH(Sales[[#This Row],[Product_ID]],Product[[#All],[Product_ID]],0),MATCH(Sales[[#Headers],[Category]],Product[#Headers],0))</f>
        <v>IT Equipment</v>
      </c>
      <c r="V175" s="76">
        <f>INDEX(Product[#All],MATCH(Sales[[#This Row],[Product_ID]],Product[[#All],[Product_ID]],0),MATCH(Sales[[#Headers],[Unit_Cost]],Product[#Headers],0))</f>
        <v>2200</v>
      </c>
      <c r="W175" s="76">
        <f>INDEX(Product[#All],MATCH(Sales[[#This Row],[Product_ID]],Product[[#All],[Product_ID]],0),MATCH("List_Price",Product[#Headers],0))</f>
        <v>3400</v>
      </c>
      <c r="X175" s="78">
        <f>Sales[[#This Row],[Quantity]]*(Sales[[#This Row],[List_Price]]*(1-Sales[[#This Row],[Discount]]))</f>
        <v>23936</v>
      </c>
      <c r="Y175" s="150">
        <f>Sales[[#This Row],[Profit]]/Sales[[#This Row],[Cost_Amount]]</f>
        <v>0.36</v>
      </c>
    </row>
    <row r="176" spans="1:25" x14ac:dyDescent="0.25">
      <c r="A176" s="17" t="s">
        <v>380</v>
      </c>
      <c r="B176" s="6">
        <v>45823</v>
      </c>
      <c r="C176" s="100">
        <f>MONTH(Sales[[#This Row],[Sale_Date]])</f>
        <v>6</v>
      </c>
      <c r="D176" s="100" t="str">
        <f t="shared" si="2"/>
        <v>June</v>
      </c>
      <c r="E176" s="4" t="s">
        <v>381</v>
      </c>
      <c r="F176" s="4" t="s">
        <v>84</v>
      </c>
      <c r="G176" s="4" t="s">
        <v>81</v>
      </c>
      <c r="H176" s="7">
        <v>6</v>
      </c>
      <c r="I176" s="40">
        <v>0.1</v>
      </c>
      <c r="J176" s="7">
        <v>48600</v>
      </c>
      <c r="K176" s="33">
        <v>39000</v>
      </c>
      <c r="L176" s="7">
        <v>9600</v>
      </c>
      <c r="M176" s="4" t="s">
        <v>44</v>
      </c>
      <c r="N176" s="18" t="s">
        <v>45</v>
      </c>
      <c r="O176" t="s">
        <v>585</v>
      </c>
      <c r="P176" t="s">
        <v>579</v>
      </c>
      <c r="Q176" t="s">
        <v>439</v>
      </c>
      <c r="R176" t="s">
        <v>409</v>
      </c>
      <c r="S176" t="s">
        <v>395</v>
      </c>
      <c r="T176" t="s">
        <v>470</v>
      </c>
      <c r="U176" t="str">
        <f>INDEX(Product[#All],MATCH(Sales[[#This Row],[Product_ID]],Product[[#All],[Product_ID]],0),MATCH(Sales[[#Headers],[Category]],Product[#Headers],0))</f>
        <v>IT Equipment</v>
      </c>
      <c r="V176" s="76">
        <f>INDEX(Product[#All],MATCH(Sales[[#This Row],[Product_ID]],Product[[#All],[Product_ID]],0),MATCH(Sales[[#Headers],[Unit_Cost]],Product[#Headers],0))</f>
        <v>6500</v>
      </c>
      <c r="W176" s="76">
        <f>INDEX(Product[#All],MATCH(Sales[[#This Row],[Product_ID]],Product[[#All],[Product_ID]],0),MATCH("List_Price",Product[#Headers],0))</f>
        <v>9000</v>
      </c>
      <c r="X176" s="78">
        <f>Sales[[#This Row],[Quantity]]*(Sales[[#This Row],[List_Price]]*(1-Sales[[#This Row],[Discount]]))</f>
        <v>48600</v>
      </c>
      <c r="Y176" s="150">
        <f>Sales[[#This Row],[Profit]]/Sales[[#This Row],[Cost_Amount]]</f>
        <v>0.24615384615384617</v>
      </c>
    </row>
    <row r="177" spans="1:25" x14ac:dyDescent="0.25">
      <c r="A177" s="17" t="s">
        <v>382</v>
      </c>
      <c r="B177" s="6">
        <v>45814</v>
      </c>
      <c r="C177" s="100">
        <f>MONTH(Sales[[#This Row],[Sale_Date]])</f>
        <v>6</v>
      </c>
      <c r="D177" s="100" t="str">
        <f t="shared" si="2"/>
        <v>June</v>
      </c>
      <c r="E177" s="4" t="s">
        <v>336</v>
      </c>
      <c r="F177" s="4" t="s">
        <v>120</v>
      </c>
      <c r="G177" s="4" t="s">
        <v>145</v>
      </c>
      <c r="H177" s="7">
        <v>17</v>
      </c>
      <c r="I177" s="40">
        <v>0.12</v>
      </c>
      <c r="J177" s="7">
        <v>37400</v>
      </c>
      <c r="K177" s="33">
        <v>27200</v>
      </c>
      <c r="L177" s="7">
        <v>10200</v>
      </c>
      <c r="M177" s="4" t="s">
        <v>44</v>
      </c>
      <c r="N177" s="18" t="s">
        <v>122</v>
      </c>
      <c r="O177" t="s">
        <v>517</v>
      </c>
      <c r="P177" t="s">
        <v>485</v>
      </c>
      <c r="Q177" t="s">
        <v>419</v>
      </c>
      <c r="R177" t="s">
        <v>394</v>
      </c>
      <c r="S177" t="s">
        <v>402</v>
      </c>
      <c r="T177" t="s">
        <v>469</v>
      </c>
      <c r="U177" t="str">
        <f>INDEX(Product[#All],MATCH(Sales[[#This Row],[Product_ID]],Product[[#All],[Product_ID]],0),MATCH(Sales[[#Headers],[Category]],Product[#Headers],0))</f>
        <v>Accessories</v>
      </c>
      <c r="V177" s="76">
        <f>INDEX(Product[#All],MATCH(Sales[[#This Row],[Product_ID]],Product[[#All],[Product_ID]],0),MATCH(Sales[[#Headers],[Unit_Cost]],Product[#Headers],0))</f>
        <v>1600</v>
      </c>
      <c r="W177" s="76">
        <f>INDEX(Product[#All],MATCH(Sales[[#This Row],[Product_ID]],Product[[#All],[Product_ID]],0),MATCH("List_Price",Product[#Headers],0))</f>
        <v>2500</v>
      </c>
      <c r="X177" s="78">
        <f>Sales[[#This Row],[Quantity]]*(Sales[[#This Row],[List_Price]]*(1-Sales[[#This Row],[Discount]]))</f>
        <v>37400</v>
      </c>
      <c r="Y177" s="150">
        <f>Sales[[#This Row],[Profit]]/Sales[[#This Row],[Cost_Amount]]</f>
        <v>0.375</v>
      </c>
    </row>
    <row r="178" spans="1:25" x14ac:dyDescent="0.25">
      <c r="A178" s="17" t="s">
        <v>383</v>
      </c>
      <c r="B178" s="6">
        <v>45675</v>
      </c>
      <c r="C178" s="100">
        <f>MONTH(Sales[[#This Row],[Sale_Date]])</f>
        <v>1</v>
      </c>
      <c r="D178" s="100" t="str">
        <f t="shared" si="2"/>
        <v>January</v>
      </c>
      <c r="E178" s="4" t="s">
        <v>104</v>
      </c>
      <c r="F178" s="4" t="s">
        <v>166</v>
      </c>
      <c r="G178" s="4" t="s">
        <v>62</v>
      </c>
      <c r="H178" s="7">
        <v>14</v>
      </c>
      <c r="I178" s="40">
        <v>0</v>
      </c>
      <c r="J178" s="7">
        <v>147000</v>
      </c>
      <c r="K178" s="33">
        <v>105000</v>
      </c>
      <c r="L178" s="7">
        <v>42000</v>
      </c>
      <c r="M178" s="4" t="s">
        <v>34</v>
      </c>
      <c r="N178" s="18" t="s">
        <v>122</v>
      </c>
      <c r="O178" t="s">
        <v>574</v>
      </c>
      <c r="P178" t="s">
        <v>478</v>
      </c>
      <c r="Q178" t="s">
        <v>414</v>
      </c>
      <c r="R178" t="s">
        <v>394</v>
      </c>
      <c r="S178" t="s">
        <v>399</v>
      </c>
      <c r="T178" t="s">
        <v>464</v>
      </c>
      <c r="U178" t="str">
        <f>INDEX(Product[#All],MATCH(Sales[[#This Row],[Product_ID]],Product[[#All],[Product_ID]],0),MATCH(Sales[[#Headers],[Category]],Product[#Headers],0))</f>
        <v>Office</v>
      </c>
      <c r="V178" s="76">
        <f>INDEX(Product[#All],MATCH(Sales[[#This Row],[Product_ID]],Product[[#All],[Product_ID]],0),MATCH(Sales[[#Headers],[Unit_Cost]],Product[#Headers],0))</f>
        <v>7500</v>
      </c>
      <c r="W178" s="76">
        <f>INDEX(Product[#All],MATCH(Sales[[#This Row],[Product_ID]],Product[[#All],[Product_ID]],0),MATCH("List_Price",Product[#Headers],0))</f>
        <v>10500</v>
      </c>
      <c r="X178" s="78">
        <f>Sales[[#This Row],[Quantity]]*(Sales[[#This Row],[List_Price]]*(1-Sales[[#This Row],[Discount]]))</f>
        <v>147000</v>
      </c>
      <c r="Y178" s="150">
        <f>Sales[[#This Row],[Profit]]/Sales[[#This Row],[Cost_Amount]]</f>
        <v>0.4</v>
      </c>
    </row>
    <row r="179" spans="1:25" x14ac:dyDescent="0.25">
      <c r="A179" s="17" t="s">
        <v>384</v>
      </c>
      <c r="B179" s="6">
        <v>45740</v>
      </c>
      <c r="C179" s="100">
        <f>MONTH(Sales[[#This Row],[Sale_Date]])</f>
        <v>3</v>
      </c>
      <c r="D179" s="100" t="str">
        <f t="shared" si="2"/>
        <v>March</v>
      </c>
      <c r="E179" s="4" t="s">
        <v>104</v>
      </c>
      <c r="F179" s="4" t="s">
        <v>125</v>
      </c>
      <c r="G179" s="4" t="s">
        <v>162</v>
      </c>
      <c r="H179" s="7">
        <v>16</v>
      </c>
      <c r="I179" s="40">
        <v>0</v>
      </c>
      <c r="J179" s="7">
        <v>256000</v>
      </c>
      <c r="K179" s="33">
        <v>184000</v>
      </c>
      <c r="L179" s="7">
        <v>72000</v>
      </c>
      <c r="M179" s="4" t="s">
        <v>39</v>
      </c>
      <c r="N179" s="18" t="s">
        <v>35</v>
      </c>
      <c r="O179" t="s">
        <v>574</v>
      </c>
      <c r="P179" t="s">
        <v>478</v>
      </c>
      <c r="Q179" t="s">
        <v>450</v>
      </c>
      <c r="R179" t="s">
        <v>398</v>
      </c>
      <c r="S179" t="s">
        <v>395</v>
      </c>
      <c r="T179" t="s">
        <v>471</v>
      </c>
      <c r="U179" t="str">
        <f>INDEX(Product[#All],MATCH(Sales[[#This Row],[Product_ID]],Product[[#All],[Product_ID]],0),MATCH(Sales[[#Headers],[Category]],Product[#Headers],0))</f>
        <v>Office</v>
      </c>
      <c r="V179" s="76">
        <f>INDEX(Product[#All],MATCH(Sales[[#This Row],[Product_ID]],Product[[#All],[Product_ID]],0),MATCH(Sales[[#Headers],[Unit_Cost]],Product[#Headers],0))</f>
        <v>11500</v>
      </c>
      <c r="W179" s="76">
        <f>INDEX(Product[#All],MATCH(Sales[[#This Row],[Product_ID]],Product[[#All],[Product_ID]],0),MATCH("List_Price",Product[#Headers],0))</f>
        <v>16000</v>
      </c>
      <c r="X179" s="78">
        <f>Sales[[#This Row],[Quantity]]*(Sales[[#This Row],[List_Price]]*(1-Sales[[#This Row],[Discount]]))</f>
        <v>256000</v>
      </c>
      <c r="Y179" s="150">
        <f>Sales[[#This Row],[Profit]]/Sales[[#This Row],[Cost_Amount]]</f>
        <v>0.39130434782608697</v>
      </c>
    </row>
    <row r="180" spans="1:25" x14ac:dyDescent="0.25">
      <c r="A180" s="17" t="s">
        <v>387</v>
      </c>
      <c r="B180" s="6">
        <v>45690</v>
      </c>
      <c r="C180" s="100">
        <f>MONTH(Sales[[#This Row],[Sale_Date]])</f>
        <v>2</v>
      </c>
      <c r="D180" s="100" t="str">
        <f t="shared" si="2"/>
        <v>February</v>
      </c>
      <c r="E180" s="4" t="s">
        <v>276</v>
      </c>
      <c r="F180" s="4" t="s">
        <v>151</v>
      </c>
      <c r="G180" s="4" t="s">
        <v>49</v>
      </c>
      <c r="H180" s="7">
        <v>10</v>
      </c>
      <c r="I180" s="40">
        <v>0.03</v>
      </c>
      <c r="J180" s="7">
        <v>46560</v>
      </c>
      <c r="K180" s="33">
        <v>32000</v>
      </c>
      <c r="L180" s="7">
        <v>14560</v>
      </c>
      <c r="M180" s="4" t="s">
        <v>63</v>
      </c>
      <c r="N180" s="18" t="s">
        <v>740</v>
      </c>
      <c r="O180" t="s">
        <v>588</v>
      </c>
      <c r="P180" t="s">
        <v>579</v>
      </c>
      <c r="Q180" t="s">
        <v>408</v>
      </c>
      <c r="R180" t="s">
        <v>409</v>
      </c>
      <c r="S180" t="s">
        <v>395</v>
      </c>
      <c r="T180" t="s">
        <v>472</v>
      </c>
      <c r="U180" t="str">
        <f>INDEX(Product[#All],MATCH(Sales[[#This Row],[Product_ID]],Product[[#All],[Product_ID]],0),MATCH(Sales[[#Headers],[Category]],Product[#Headers],0))</f>
        <v>IT Equipment</v>
      </c>
      <c r="V180" s="76">
        <f>INDEX(Product[#All],MATCH(Sales[[#This Row],[Product_ID]],Product[[#All],[Product_ID]],0),MATCH(Sales[[#Headers],[Unit_Cost]],Product[#Headers],0))</f>
        <v>3200</v>
      </c>
      <c r="W180" s="76">
        <f>INDEX(Product[#All],MATCH(Sales[[#This Row],[Product_ID]],Product[[#All],[Product_ID]],0),MATCH("List_Price",Product[#Headers],0))</f>
        <v>4800</v>
      </c>
      <c r="X180" s="78">
        <f>Sales[[#This Row],[Quantity]]*(Sales[[#This Row],[List_Price]]*(1-Sales[[#This Row],[Discount]]))</f>
        <v>46560</v>
      </c>
      <c r="Y180" s="150">
        <f>Sales[[#This Row],[Profit]]/Sales[[#This Row],[Cost_Amount]]</f>
        <v>0.45500000000000002</v>
      </c>
    </row>
    <row r="181" spans="1:25" x14ac:dyDescent="0.25">
      <c r="A181" s="22" t="s">
        <v>388</v>
      </c>
      <c r="B181" s="23">
        <v>45765</v>
      </c>
      <c r="C181" s="128">
        <f>MONTH(Sales[[#This Row],[Sale_Date]])</f>
        <v>4</v>
      </c>
      <c r="D181" s="100" t="str">
        <f t="shared" si="2"/>
        <v>April</v>
      </c>
      <c r="E181" s="24" t="s">
        <v>191</v>
      </c>
      <c r="F181" s="24" t="s">
        <v>98</v>
      </c>
      <c r="G181" s="24" t="s">
        <v>162</v>
      </c>
      <c r="H181" s="25">
        <v>7</v>
      </c>
      <c r="I181" s="41">
        <v>0.03</v>
      </c>
      <c r="J181" s="25">
        <v>108640</v>
      </c>
      <c r="K181" s="34">
        <v>80500</v>
      </c>
      <c r="L181" s="25">
        <v>28140</v>
      </c>
      <c r="M181" s="24" t="s">
        <v>39</v>
      </c>
      <c r="N181" s="26" t="s">
        <v>45</v>
      </c>
      <c r="O181" t="s">
        <v>567</v>
      </c>
      <c r="P181" t="s">
        <v>478</v>
      </c>
      <c r="Q181" t="s">
        <v>428</v>
      </c>
      <c r="R181" t="s">
        <v>409</v>
      </c>
      <c r="S181" t="s">
        <v>399</v>
      </c>
      <c r="T181" t="s">
        <v>471</v>
      </c>
      <c r="U181" t="str">
        <f>INDEX(Product[#All],MATCH(Sales[[#This Row],[Product_ID]],Product[[#All],[Product_ID]],0),MATCH(Sales[[#Headers],[Category]],Product[#Headers],0))</f>
        <v>Office</v>
      </c>
      <c r="V181" s="76">
        <f>INDEX(Product[#All],MATCH(Sales[[#This Row],[Product_ID]],Product[[#All],[Product_ID]],0),MATCH(Sales[[#Headers],[Unit_Cost]],Product[#Headers],0))</f>
        <v>11500</v>
      </c>
      <c r="W181" s="76">
        <f>INDEX(Product[#All],MATCH(Sales[[#This Row],[Product_ID]],Product[[#All],[Product_ID]],0),MATCH("List_Price",Product[#Headers],0))</f>
        <v>16000</v>
      </c>
      <c r="X181" s="78">
        <f>Sales[[#This Row],[Quantity]]*(Sales[[#This Row],[List_Price]]*(1-Sales[[#This Row],[Discount]]))</f>
        <v>108640</v>
      </c>
      <c r="Y181" s="150">
        <f>Sales[[#This Row],[Profit]]/Sales[[#This Row],[Cost_Amount]]</f>
        <v>0.34956521739130436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H96"/>
  <sheetViews>
    <sheetView workbookViewId="0">
      <pane ySplit="1" topLeftCell="A2" activePane="bottomLeft" state="frozen"/>
      <selection activeCell="I10" sqref="I10"/>
      <selection pane="bottomLeft" activeCell="G4" sqref="G4"/>
    </sheetView>
  </sheetViews>
  <sheetFormatPr defaultRowHeight="15" x14ac:dyDescent="0.25"/>
  <cols>
    <col min="1" max="1" width="14.85546875" customWidth="1"/>
    <col min="2" max="2" width="25.5703125" customWidth="1"/>
    <col min="3" max="3" width="19.42578125" customWidth="1"/>
    <col min="4" max="4" width="12" customWidth="1"/>
    <col min="5" max="5" width="14.5703125" customWidth="1"/>
    <col min="6" max="6" width="19" customWidth="1"/>
    <col min="7" max="7" width="14.42578125" customWidth="1"/>
    <col min="8" max="8" width="13.42578125" customWidth="1"/>
  </cols>
  <sheetData>
    <row r="1" spans="1:8" ht="28.5" customHeight="1" x14ac:dyDescent="0.25">
      <c r="A1" s="49" t="s">
        <v>20</v>
      </c>
      <c r="B1" s="50" t="s">
        <v>479</v>
      </c>
      <c r="C1" s="50" t="s">
        <v>480</v>
      </c>
      <c r="D1" s="50" t="s">
        <v>481</v>
      </c>
      <c r="E1" s="53" t="s">
        <v>482</v>
      </c>
      <c r="F1" s="54" t="s">
        <v>483</v>
      </c>
      <c r="G1" s="75" t="s">
        <v>756</v>
      </c>
      <c r="H1" s="75" t="s">
        <v>27</v>
      </c>
    </row>
    <row r="2" spans="1:8" x14ac:dyDescent="0.25">
      <c r="A2" s="17" t="s">
        <v>80</v>
      </c>
      <c r="B2" s="4" t="s">
        <v>484</v>
      </c>
      <c r="C2" s="4" t="s">
        <v>485</v>
      </c>
      <c r="D2" s="4" t="s">
        <v>486</v>
      </c>
      <c r="E2" s="31">
        <v>51000</v>
      </c>
      <c r="F2" s="56">
        <v>800000</v>
      </c>
      <c r="G2" s="76">
        <f>SUMIF(Sales[Employee_Name],Employees[[#This Row],[Employee_Name]],Sales[Net_Sales])</f>
        <v>115000</v>
      </c>
      <c r="H2" s="76">
        <f>SUMIF(Sales[Employee_Name],Employees[[#This Row],[Employee_Name]],Sales[Profit])</f>
        <v>24100</v>
      </c>
    </row>
    <row r="3" spans="1:8" x14ac:dyDescent="0.25">
      <c r="A3" s="17" t="s">
        <v>225</v>
      </c>
      <c r="B3" s="4" t="s">
        <v>487</v>
      </c>
      <c r="C3" s="4" t="s">
        <v>485</v>
      </c>
      <c r="D3" s="4" t="s">
        <v>488</v>
      </c>
      <c r="E3" s="31">
        <v>39000</v>
      </c>
      <c r="F3" s="56">
        <v>1130000</v>
      </c>
      <c r="G3" s="76">
        <f>SUMIF(Sales[Employee_Name],Employees[[#This Row],[Employee_Name]],Sales[Net_Sales])</f>
        <v>144450</v>
      </c>
      <c r="H3" s="76">
        <f>SUMIF(Sales[Employee_Name],Employees[[#This Row],[Employee_Name]],Sales[Profit])</f>
        <v>41450</v>
      </c>
    </row>
    <row r="4" spans="1:8" x14ac:dyDescent="0.25">
      <c r="A4" s="17" t="s">
        <v>489</v>
      </c>
      <c r="B4" s="4" t="s">
        <v>490</v>
      </c>
      <c r="C4" s="4" t="s">
        <v>485</v>
      </c>
      <c r="D4" s="4" t="s">
        <v>491</v>
      </c>
      <c r="E4" s="31">
        <v>32000</v>
      </c>
      <c r="F4" s="56">
        <v>1040000</v>
      </c>
      <c r="G4" s="76">
        <f>SUMIF(Sales[Employee_Name],Employees[[#This Row],[Employee_Name]],Sales[Net_Sales])</f>
        <v>0</v>
      </c>
      <c r="H4" s="76">
        <f>SUMIF(Sales[Employee_Name],Employees[[#This Row],[Employee_Name]],Sales[Profit])</f>
        <v>0</v>
      </c>
    </row>
    <row r="5" spans="1:8" x14ac:dyDescent="0.25">
      <c r="A5" s="17" t="s">
        <v>51</v>
      </c>
      <c r="B5" s="4" t="s">
        <v>492</v>
      </c>
      <c r="C5" s="4" t="s">
        <v>485</v>
      </c>
      <c r="D5" s="4" t="s">
        <v>486</v>
      </c>
      <c r="E5" s="31">
        <v>44500</v>
      </c>
      <c r="F5" s="56">
        <v>720000</v>
      </c>
      <c r="G5" s="76">
        <f>SUMIF(Sales[Employee_Name],Employees[[#This Row],[Employee_Name]],Sales[Net_Sales])</f>
        <v>12222</v>
      </c>
      <c r="H5" s="76">
        <f>SUMIF(Sales[Employee_Name],Employees[[#This Row],[Employee_Name]],Sales[Profit])</f>
        <v>3822</v>
      </c>
    </row>
    <row r="6" spans="1:8" x14ac:dyDescent="0.25">
      <c r="A6" s="17" t="s">
        <v>147</v>
      </c>
      <c r="B6" s="4" t="s">
        <v>493</v>
      </c>
      <c r="C6" s="4" t="s">
        <v>485</v>
      </c>
      <c r="D6" s="4" t="s">
        <v>486</v>
      </c>
      <c r="E6" s="31">
        <v>31500</v>
      </c>
      <c r="F6" s="56">
        <v>1060000</v>
      </c>
      <c r="G6" s="76">
        <f>SUMIF(Sales[Employee_Name],Employees[[#This Row],[Employee_Name]],Sales[Net_Sales])</f>
        <v>1255431</v>
      </c>
      <c r="H6" s="76">
        <f>SUMIF(Sales[Employee_Name],Employees[[#This Row],[Employee_Name]],Sales[Profit])</f>
        <v>189631</v>
      </c>
    </row>
    <row r="7" spans="1:8" x14ac:dyDescent="0.25">
      <c r="A7" s="17" t="s">
        <v>359</v>
      </c>
      <c r="B7" s="4" t="s">
        <v>494</v>
      </c>
      <c r="C7" s="4" t="s">
        <v>485</v>
      </c>
      <c r="D7" s="4" t="s">
        <v>486</v>
      </c>
      <c r="E7" s="31">
        <v>37500</v>
      </c>
      <c r="F7" s="56">
        <v>720000</v>
      </c>
      <c r="G7" s="76">
        <f>SUMIF(Sales[Employee_Name],Employees[[#This Row],[Employee_Name]],Sales[Net_Sales])</f>
        <v>25840</v>
      </c>
      <c r="H7" s="76">
        <f>SUMIF(Sales[Employee_Name],Employees[[#This Row],[Employee_Name]],Sales[Profit])</f>
        <v>7840</v>
      </c>
    </row>
    <row r="8" spans="1:8" x14ac:dyDescent="0.25">
      <c r="A8" s="17" t="s">
        <v>326</v>
      </c>
      <c r="B8" s="4" t="s">
        <v>495</v>
      </c>
      <c r="C8" s="4" t="s">
        <v>485</v>
      </c>
      <c r="D8" s="4" t="s">
        <v>488</v>
      </c>
      <c r="E8" s="31">
        <v>34000</v>
      </c>
      <c r="F8" s="56">
        <v>1200000</v>
      </c>
      <c r="G8" s="76">
        <f>SUMIF(Sales[Employee_Name],Employees[[#This Row],[Employee_Name]],Sales[Net_Sales])</f>
        <v>50232</v>
      </c>
      <c r="H8" s="76">
        <f>SUMIF(Sales[Employee_Name],Employees[[#This Row],[Employee_Name]],Sales[Profit])</f>
        <v>16882</v>
      </c>
    </row>
    <row r="9" spans="1:8" x14ac:dyDescent="0.25">
      <c r="A9" s="17" t="s">
        <v>218</v>
      </c>
      <c r="B9" s="4" t="s">
        <v>496</v>
      </c>
      <c r="C9" s="4" t="s">
        <v>485</v>
      </c>
      <c r="D9" s="4" t="s">
        <v>491</v>
      </c>
      <c r="E9" s="31">
        <v>51000</v>
      </c>
      <c r="F9" s="56">
        <v>1130000</v>
      </c>
      <c r="G9" s="76">
        <f>SUMIF(Sales[Employee_Name],Employees[[#This Row],[Employee_Name]],Sales[Net_Sales])</f>
        <v>27720</v>
      </c>
      <c r="H9" s="76">
        <f>SUMIF(Sales[Employee_Name],Employees[[#This Row],[Employee_Name]],Sales[Profit])</f>
        <v>7920</v>
      </c>
    </row>
    <row r="10" spans="1:8" x14ac:dyDescent="0.25">
      <c r="A10" s="17" t="s">
        <v>76</v>
      </c>
      <c r="B10" s="4" t="s">
        <v>497</v>
      </c>
      <c r="C10" s="4" t="s">
        <v>485</v>
      </c>
      <c r="D10" s="4" t="s">
        <v>486</v>
      </c>
      <c r="E10" s="31">
        <v>46000</v>
      </c>
      <c r="F10" s="56">
        <v>820000</v>
      </c>
      <c r="G10" s="76">
        <f>SUMIF(Sales[Employee_Name],Employees[[#This Row],[Employee_Name]],Sales[Net_Sales])</f>
        <v>245272</v>
      </c>
      <c r="H10" s="76">
        <f>SUMIF(Sales[Employee_Name],Employees[[#This Row],[Employee_Name]],Sales[Profit])</f>
        <v>66072</v>
      </c>
    </row>
    <row r="11" spans="1:8" x14ac:dyDescent="0.25">
      <c r="A11" s="17" t="s">
        <v>65</v>
      </c>
      <c r="B11" s="4" t="s">
        <v>498</v>
      </c>
      <c r="C11" s="4" t="s">
        <v>485</v>
      </c>
      <c r="D11" s="4" t="s">
        <v>488</v>
      </c>
      <c r="E11" s="31">
        <v>30500</v>
      </c>
      <c r="F11" s="56">
        <v>1100000</v>
      </c>
      <c r="G11" s="76">
        <f>SUMIF(Sales[Employee_Name],Employees[[#This Row],[Employee_Name]],Sales[Net_Sales])</f>
        <v>154140</v>
      </c>
      <c r="H11" s="76">
        <f>SUMIF(Sales[Employee_Name],Employees[[#This Row],[Employee_Name]],Sales[Profit])</f>
        <v>44640</v>
      </c>
    </row>
    <row r="12" spans="1:8" x14ac:dyDescent="0.25">
      <c r="A12" s="17" t="s">
        <v>184</v>
      </c>
      <c r="B12" s="4" t="s">
        <v>499</v>
      </c>
      <c r="C12" s="4" t="s">
        <v>485</v>
      </c>
      <c r="D12" s="4" t="s">
        <v>488</v>
      </c>
      <c r="E12" s="31">
        <v>28500</v>
      </c>
      <c r="F12" s="56">
        <v>1120000</v>
      </c>
      <c r="G12" s="76">
        <f>SUMIF(Sales[Employee_Name],Employees[[#This Row],[Employee_Name]],Sales[Net_Sales])</f>
        <v>125875</v>
      </c>
      <c r="H12" s="76">
        <f>SUMIF(Sales[Employee_Name],Employees[[#This Row],[Employee_Name]],Sales[Profit])</f>
        <v>39275</v>
      </c>
    </row>
    <row r="13" spans="1:8" x14ac:dyDescent="0.25">
      <c r="A13" s="17" t="s">
        <v>93</v>
      </c>
      <c r="B13" s="4" t="s">
        <v>500</v>
      </c>
      <c r="C13" s="4" t="s">
        <v>485</v>
      </c>
      <c r="D13" s="4" t="s">
        <v>486</v>
      </c>
      <c r="E13" s="31">
        <v>31000</v>
      </c>
      <c r="F13" s="56">
        <v>1110000</v>
      </c>
      <c r="G13" s="76">
        <f>SUMIF(Sales[Employee_Name],Employees[[#This Row],[Employee_Name]],Sales[Net_Sales])</f>
        <v>849330</v>
      </c>
      <c r="H13" s="76">
        <f>SUMIF(Sales[Employee_Name],Employees[[#This Row],[Employee_Name]],Sales[Profit])</f>
        <v>73830</v>
      </c>
    </row>
    <row r="14" spans="1:8" x14ac:dyDescent="0.25">
      <c r="A14" s="17" t="s">
        <v>160</v>
      </c>
      <c r="B14" s="4" t="s">
        <v>501</v>
      </c>
      <c r="C14" s="4" t="s">
        <v>485</v>
      </c>
      <c r="D14" s="4" t="s">
        <v>488</v>
      </c>
      <c r="E14" s="31">
        <v>44500</v>
      </c>
      <c r="F14" s="56">
        <v>1170000</v>
      </c>
      <c r="G14" s="76">
        <f>SUMIF(Sales[Employee_Name],Employees[[#This Row],[Employee_Name]],Sales[Net_Sales])</f>
        <v>282992</v>
      </c>
      <c r="H14" s="76">
        <f>SUMIF(Sales[Employee_Name],Employees[[#This Row],[Employee_Name]],Sales[Profit])</f>
        <v>79092</v>
      </c>
    </row>
    <row r="15" spans="1:8" x14ac:dyDescent="0.25">
      <c r="A15" s="17" t="s">
        <v>312</v>
      </c>
      <c r="B15" s="4" t="s">
        <v>502</v>
      </c>
      <c r="C15" s="4" t="s">
        <v>485</v>
      </c>
      <c r="D15" s="4" t="s">
        <v>488</v>
      </c>
      <c r="E15" s="31">
        <v>42000</v>
      </c>
      <c r="F15" s="56">
        <v>830000</v>
      </c>
      <c r="G15" s="76">
        <f>SUMIF(Sales[Employee_Name],Employees[[#This Row],[Employee_Name]],Sales[Net_Sales])</f>
        <v>649800</v>
      </c>
      <c r="H15" s="76">
        <f>SUMIF(Sales[Employee_Name],Employees[[#This Row],[Employee_Name]],Sales[Profit])</f>
        <v>109800</v>
      </c>
    </row>
    <row r="16" spans="1:8" x14ac:dyDescent="0.25">
      <c r="A16" s="17" t="s">
        <v>221</v>
      </c>
      <c r="B16" s="4" t="s">
        <v>503</v>
      </c>
      <c r="C16" s="4" t="s">
        <v>485</v>
      </c>
      <c r="D16" s="4" t="s">
        <v>491</v>
      </c>
      <c r="E16" s="31">
        <v>28500</v>
      </c>
      <c r="F16" s="56">
        <v>730000</v>
      </c>
      <c r="G16" s="76">
        <f>SUMIF(Sales[Employee_Name],Employees[[#This Row],[Employee_Name]],Sales[Net_Sales])</f>
        <v>336960</v>
      </c>
      <c r="H16" s="76">
        <f>SUMIF(Sales[Employee_Name],Employees[[#This Row],[Employee_Name]],Sales[Profit])</f>
        <v>83960</v>
      </c>
    </row>
    <row r="17" spans="1:8" x14ac:dyDescent="0.25">
      <c r="A17" s="17" t="s">
        <v>60</v>
      </c>
      <c r="B17" s="4" t="s">
        <v>504</v>
      </c>
      <c r="C17" s="4" t="s">
        <v>485</v>
      </c>
      <c r="D17" s="4" t="s">
        <v>486</v>
      </c>
      <c r="E17" s="31">
        <v>38500</v>
      </c>
      <c r="F17" s="56">
        <v>760000</v>
      </c>
      <c r="G17" s="76">
        <f>SUMIF(Sales[Employee_Name],Employees[[#This Row],[Employee_Name]],Sales[Net_Sales])</f>
        <v>47250</v>
      </c>
      <c r="H17" s="76">
        <f>SUMIF(Sales[Employee_Name],Employees[[#This Row],[Employee_Name]],Sales[Profit])</f>
        <v>9750</v>
      </c>
    </row>
    <row r="18" spans="1:8" x14ac:dyDescent="0.25">
      <c r="A18" s="17" t="s">
        <v>299</v>
      </c>
      <c r="B18" s="4" t="s">
        <v>505</v>
      </c>
      <c r="C18" s="4" t="s">
        <v>485</v>
      </c>
      <c r="D18" s="4" t="s">
        <v>488</v>
      </c>
      <c r="E18" s="31">
        <v>31000</v>
      </c>
      <c r="F18" s="56">
        <v>1170000</v>
      </c>
      <c r="G18" s="76">
        <f>SUMIF(Sales[Employee_Name],Employees[[#This Row],[Employee_Name]],Sales[Net_Sales])</f>
        <v>55400</v>
      </c>
      <c r="H18" s="76">
        <f>SUMIF(Sales[Employee_Name],Employees[[#This Row],[Employee_Name]],Sales[Profit])</f>
        <v>18600</v>
      </c>
    </row>
    <row r="19" spans="1:8" x14ac:dyDescent="0.25">
      <c r="A19" s="17" t="s">
        <v>265</v>
      </c>
      <c r="B19" s="4" t="s">
        <v>506</v>
      </c>
      <c r="C19" s="4" t="s">
        <v>485</v>
      </c>
      <c r="D19" s="4" t="s">
        <v>491</v>
      </c>
      <c r="E19" s="31">
        <v>32000</v>
      </c>
      <c r="F19" s="56">
        <v>990000</v>
      </c>
      <c r="G19" s="76">
        <f>SUMIF(Sales[Employee_Name],Employees[[#This Row],[Employee_Name]],Sales[Net_Sales])</f>
        <v>31525</v>
      </c>
      <c r="H19" s="76">
        <f>SUMIF(Sales[Employee_Name],Employees[[#This Row],[Employee_Name]],Sales[Profit])</f>
        <v>10525</v>
      </c>
    </row>
    <row r="20" spans="1:8" x14ac:dyDescent="0.25">
      <c r="A20" s="17" t="s">
        <v>355</v>
      </c>
      <c r="B20" s="4" t="s">
        <v>507</v>
      </c>
      <c r="C20" s="4" t="s">
        <v>485</v>
      </c>
      <c r="D20" s="4" t="s">
        <v>491</v>
      </c>
      <c r="E20" s="31">
        <v>37500</v>
      </c>
      <c r="F20" s="56">
        <v>710000</v>
      </c>
      <c r="G20" s="76">
        <f>SUMIF(Sales[Employee_Name],Employees[[#This Row],[Employee_Name]],Sales[Net_Sales])</f>
        <v>494000</v>
      </c>
      <c r="H20" s="76">
        <f>SUMIF(Sales[Employee_Name],Employees[[#This Row],[Employee_Name]],Sales[Profit])</f>
        <v>104000</v>
      </c>
    </row>
    <row r="21" spans="1:8" x14ac:dyDescent="0.25">
      <c r="A21" s="17" t="s">
        <v>243</v>
      </c>
      <c r="B21" s="4" t="s">
        <v>508</v>
      </c>
      <c r="C21" s="4" t="s">
        <v>485</v>
      </c>
      <c r="D21" s="4" t="s">
        <v>488</v>
      </c>
      <c r="E21" s="31">
        <v>38000</v>
      </c>
      <c r="F21" s="56">
        <v>880000</v>
      </c>
      <c r="G21" s="76">
        <f>SUMIF(Sales[Employee_Name],Employees[[#This Row],[Employee_Name]],Sales[Net_Sales])</f>
        <v>48744</v>
      </c>
      <c r="H21" s="76">
        <f>SUMIF(Sales[Employee_Name],Employees[[#This Row],[Employee_Name]],Sales[Profit])</f>
        <v>13444</v>
      </c>
    </row>
    <row r="22" spans="1:8" x14ac:dyDescent="0.25">
      <c r="A22" s="17" t="s">
        <v>111</v>
      </c>
      <c r="B22" s="4" t="s">
        <v>509</v>
      </c>
      <c r="C22" s="4" t="s">
        <v>485</v>
      </c>
      <c r="D22" s="4" t="s">
        <v>488</v>
      </c>
      <c r="E22" s="31">
        <v>34500</v>
      </c>
      <c r="F22" s="56">
        <v>920000</v>
      </c>
      <c r="G22" s="76">
        <f>SUMIF(Sales[Employee_Name],Employees[[#This Row],[Employee_Name]],Sales[Net_Sales])</f>
        <v>721940</v>
      </c>
      <c r="H22" s="76">
        <f>SUMIF(Sales[Employee_Name],Employees[[#This Row],[Employee_Name]],Sales[Profit])</f>
        <v>123040</v>
      </c>
    </row>
    <row r="23" spans="1:8" x14ac:dyDescent="0.25">
      <c r="A23" s="17" t="s">
        <v>168</v>
      </c>
      <c r="B23" s="4" t="s">
        <v>510</v>
      </c>
      <c r="C23" s="4" t="s">
        <v>485</v>
      </c>
      <c r="D23" s="4" t="s">
        <v>488</v>
      </c>
      <c r="E23" s="31">
        <v>29000</v>
      </c>
      <c r="F23" s="56">
        <v>1010000</v>
      </c>
      <c r="G23" s="76">
        <f>SUMIF(Sales[Employee_Name],Employees[[#This Row],[Employee_Name]],Sales[Net_Sales])</f>
        <v>571568</v>
      </c>
      <c r="H23" s="76">
        <f>SUMIF(Sales[Employee_Name],Employees[[#This Row],[Employee_Name]],Sales[Profit])</f>
        <v>99768</v>
      </c>
    </row>
    <row r="24" spans="1:8" x14ac:dyDescent="0.25">
      <c r="A24" s="17" t="s">
        <v>511</v>
      </c>
      <c r="B24" s="4" t="s">
        <v>512</v>
      </c>
      <c r="C24" s="4" t="s">
        <v>485</v>
      </c>
      <c r="D24" s="4" t="s">
        <v>491</v>
      </c>
      <c r="E24" s="31">
        <v>43500</v>
      </c>
      <c r="F24" s="56">
        <v>950000</v>
      </c>
      <c r="G24" s="76">
        <f>SUMIF(Sales[Employee_Name],Employees[[#This Row],[Employee_Name]],Sales[Net_Sales])</f>
        <v>0</v>
      </c>
      <c r="H24" s="76">
        <f>SUMIF(Sales[Employee_Name],Employees[[#This Row],[Employee_Name]],Sales[Profit])</f>
        <v>0</v>
      </c>
    </row>
    <row r="25" spans="1:8" x14ac:dyDescent="0.25">
      <c r="A25" s="17" t="s">
        <v>197</v>
      </c>
      <c r="B25" s="4" t="s">
        <v>513</v>
      </c>
      <c r="C25" s="4" t="s">
        <v>485</v>
      </c>
      <c r="D25" s="4" t="s">
        <v>486</v>
      </c>
      <c r="E25" s="31">
        <v>39500</v>
      </c>
      <c r="F25" s="56">
        <v>740000</v>
      </c>
      <c r="G25" s="76">
        <f>SUMIF(Sales[Employee_Name],Employees[[#This Row],[Employee_Name]],Sales[Net_Sales])</f>
        <v>14400</v>
      </c>
      <c r="H25" s="76">
        <f>SUMIF(Sales[Employee_Name],Employees[[#This Row],[Employee_Name]],Sales[Profit])</f>
        <v>4800</v>
      </c>
    </row>
    <row r="26" spans="1:8" x14ac:dyDescent="0.25">
      <c r="A26" s="17" t="s">
        <v>211</v>
      </c>
      <c r="B26" s="4" t="s">
        <v>514</v>
      </c>
      <c r="C26" s="4" t="s">
        <v>485</v>
      </c>
      <c r="D26" s="4" t="s">
        <v>491</v>
      </c>
      <c r="E26" s="31">
        <v>31500</v>
      </c>
      <c r="F26" s="56">
        <v>800000</v>
      </c>
      <c r="G26" s="76">
        <f>SUMIF(Sales[Employee_Name],Employees[[#This Row],[Employee_Name]],Sales[Net_Sales])</f>
        <v>237200</v>
      </c>
      <c r="H26" s="76">
        <f>SUMIF(Sales[Employee_Name],Employees[[#This Row],[Employee_Name]],Sales[Profit])</f>
        <v>58900</v>
      </c>
    </row>
    <row r="27" spans="1:8" x14ac:dyDescent="0.25">
      <c r="A27" s="17" t="s">
        <v>515</v>
      </c>
      <c r="B27" s="4" t="s">
        <v>516</v>
      </c>
      <c r="C27" s="4" t="s">
        <v>485</v>
      </c>
      <c r="D27" s="4" t="s">
        <v>491</v>
      </c>
      <c r="E27" s="31">
        <v>34000</v>
      </c>
      <c r="F27" s="56">
        <v>1200000</v>
      </c>
      <c r="G27" s="76">
        <f>SUMIF(Sales[Employee_Name],Employees[[#This Row],[Employee_Name]],Sales[Net_Sales])</f>
        <v>0</v>
      </c>
      <c r="H27" s="76">
        <f>SUMIF(Sales[Employee_Name],Employees[[#This Row],[Employee_Name]],Sales[Profit])</f>
        <v>0</v>
      </c>
    </row>
    <row r="28" spans="1:8" x14ac:dyDescent="0.25">
      <c r="A28" s="17" t="s">
        <v>336</v>
      </c>
      <c r="B28" s="4" t="s">
        <v>517</v>
      </c>
      <c r="C28" s="4" t="s">
        <v>485</v>
      </c>
      <c r="D28" s="4" t="s">
        <v>491</v>
      </c>
      <c r="E28" s="31">
        <v>47000</v>
      </c>
      <c r="F28" s="56">
        <v>1190000</v>
      </c>
      <c r="G28" s="76">
        <f>SUMIF(Sales[Employee_Name],Employees[[#This Row],[Employee_Name]],Sales[Net_Sales])</f>
        <v>103224</v>
      </c>
      <c r="H28" s="76">
        <f>SUMIF(Sales[Employee_Name],Employees[[#This Row],[Employee_Name]],Sales[Profit])</f>
        <v>26524</v>
      </c>
    </row>
    <row r="29" spans="1:8" x14ac:dyDescent="0.25">
      <c r="A29" s="17" t="s">
        <v>73</v>
      </c>
      <c r="B29" s="4" t="s">
        <v>518</v>
      </c>
      <c r="C29" s="4" t="s">
        <v>485</v>
      </c>
      <c r="D29" s="4" t="s">
        <v>486</v>
      </c>
      <c r="E29" s="31">
        <v>36500</v>
      </c>
      <c r="F29" s="56">
        <v>970000</v>
      </c>
      <c r="G29" s="76">
        <f>SUMIF(Sales[Employee_Name],Employees[[#This Row],[Employee_Name]],Sales[Net_Sales])</f>
        <v>294150</v>
      </c>
      <c r="H29" s="76">
        <f>SUMIF(Sales[Employee_Name],Employees[[#This Row],[Employee_Name]],Sales[Profit])</f>
        <v>82350</v>
      </c>
    </row>
    <row r="30" spans="1:8" x14ac:dyDescent="0.25">
      <c r="A30" s="17" t="s">
        <v>274</v>
      </c>
      <c r="B30" s="4" t="s">
        <v>519</v>
      </c>
      <c r="C30" s="4" t="s">
        <v>520</v>
      </c>
      <c r="D30" s="4" t="s">
        <v>486</v>
      </c>
      <c r="E30" s="31">
        <v>37000</v>
      </c>
      <c r="F30" s="56">
        <v>1080000</v>
      </c>
      <c r="G30" s="76">
        <f>SUMIF(Sales[Employee_Name],Employees[[#This Row],[Employee_Name]],Sales[Net_Sales])</f>
        <v>27000</v>
      </c>
      <c r="H30" s="76">
        <f>SUMIF(Sales[Employee_Name],Employees[[#This Row],[Employee_Name]],Sales[Profit])</f>
        <v>7500</v>
      </c>
    </row>
    <row r="31" spans="1:8" x14ac:dyDescent="0.25">
      <c r="A31" s="17" t="s">
        <v>287</v>
      </c>
      <c r="B31" s="4" t="s">
        <v>521</v>
      </c>
      <c r="C31" s="4" t="s">
        <v>520</v>
      </c>
      <c r="D31" s="4" t="s">
        <v>486</v>
      </c>
      <c r="E31" s="31">
        <v>38000</v>
      </c>
      <c r="F31" s="56">
        <v>890000</v>
      </c>
      <c r="G31" s="76">
        <f>SUMIF(Sales[Employee_Name],Employees[[#This Row],[Employee_Name]],Sales[Net_Sales])</f>
        <v>80580</v>
      </c>
      <c r="H31" s="76">
        <f>SUMIF(Sales[Employee_Name],Employees[[#This Row],[Employee_Name]],Sales[Profit])</f>
        <v>26280</v>
      </c>
    </row>
    <row r="32" spans="1:8" x14ac:dyDescent="0.25">
      <c r="A32" s="17" t="s">
        <v>364</v>
      </c>
      <c r="B32" s="4" t="s">
        <v>522</v>
      </c>
      <c r="C32" s="4" t="s">
        <v>520</v>
      </c>
      <c r="D32" s="4" t="s">
        <v>486</v>
      </c>
      <c r="E32" s="31">
        <v>42000</v>
      </c>
      <c r="F32" s="56">
        <v>810000</v>
      </c>
      <c r="G32" s="76">
        <f>SUMIF(Sales[Employee_Name],Employees[[#This Row],[Employee_Name]],Sales[Net_Sales])</f>
        <v>206840</v>
      </c>
      <c r="H32" s="76">
        <f>SUMIF(Sales[Employee_Name],Employees[[#This Row],[Employee_Name]],Sales[Profit])</f>
        <v>50240</v>
      </c>
    </row>
    <row r="33" spans="1:8" x14ac:dyDescent="0.25">
      <c r="A33" s="17" t="s">
        <v>83</v>
      </c>
      <c r="B33" s="4" t="s">
        <v>523</v>
      </c>
      <c r="C33" s="4" t="s">
        <v>520</v>
      </c>
      <c r="D33" s="4" t="s">
        <v>491</v>
      </c>
      <c r="E33" s="31">
        <v>31000</v>
      </c>
      <c r="F33" s="56">
        <v>1300000</v>
      </c>
      <c r="G33" s="76">
        <f>SUMIF(Sales[Employee_Name],Employees[[#This Row],[Employee_Name]],Sales[Net_Sales])</f>
        <v>130242</v>
      </c>
      <c r="H33" s="76">
        <f>SUMIF(Sales[Employee_Name],Employees[[#This Row],[Employee_Name]],Sales[Profit])</f>
        <v>40642</v>
      </c>
    </row>
    <row r="34" spans="1:8" x14ac:dyDescent="0.25">
      <c r="A34" s="17" t="s">
        <v>524</v>
      </c>
      <c r="B34" s="4" t="s">
        <v>525</v>
      </c>
      <c r="C34" s="4" t="s">
        <v>520</v>
      </c>
      <c r="D34" s="4" t="s">
        <v>488</v>
      </c>
      <c r="E34" s="31">
        <v>37000</v>
      </c>
      <c r="F34" s="56">
        <v>1090000</v>
      </c>
      <c r="G34" s="76">
        <f>SUMIF(Sales[Employee_Name],Employees[[#This Row],[Employee_Name]],Sales[Net_Sales])</f>
        <v>55080</v>
      </c>
      <c r="H34" s="76">
        <f>SUMIF(Sales[Employee_Name],Employees[[#This Row],[Employee_Name]],Sales[Profit])</f>
        <v>15480</v>
      </c>
    </row>
    <row r="35" spans="1:8" x14ac:dyDescent="0.25">
      <c r="A35" s="17" t="s">
        <v>207</v>
      </c>
      <c r="B35" s="4" t="s">
        <v>526</v>
      </c>
      <c r="C35" s="4" t="s">
        <v>520</v>
      </c>
      <c r="D35" s="4" t="s">
        <v>491</v>
      </c>
      <c r="E35" s="31">
        <v>49500</v>
      </c>
      <c r="F35" s="56">
        <v>850000</v>
      </c>
      <c r="G35" s="76">
        <f>SUMIF(Sales[Employee_Name],Employees[[#This Row],[Employee_Name]],Sales[Net_Sales])</f>
        <v>57168</v>
      </c>
      <c r="H35" s="76">
        <f>SUMIF(Sales[Employee_Name],Employees[[#This Row],[Employee_Name]],Sales[Profit])</f>
        <v>19368</v>
      </c>
    </row>
    <row r="36" spans="1:8" x14ac:dyDescent="0.25">
      <c r="A36" s="17" t="s">
        <v>223</v>
      </c>
      <c r="B36" s="4" t="s">
        <v>527</v>
      </c>
      <c r="C36" s="4" t="s">
        <v>520</v>
      </c>
      <c r="D36" s="4" t="s">
        <v>491</v>
      </c>
      <c r="E36" s="31">
        <v>35000</v>
      </c>
      <c r="F36" s="56">
        <v>1070000</v>
      </c>
      <c r="G36" s="76">
        <f>SUMIF(Sales[Employee_Name],Employees[[#This Row],[Employee_Name]],Sales[Net_Sales])</f>
        <v>18000</v>
      </c>
      <c r="H36" s="76">
        <f>SUMIF(Sales[Employee_Name],Employees[[#This Row],[Employee_Name]],Sales[Profit])</f>
        <v>5000</v>
      </c>
    </row>
    <row r="37" spans="1:8" x14ac:dyDescent="0.25">
      <c r="A37" s="17" t="s">
        <v>290</v>
      </c>
      <c r="B37" s="4" t="s">
        <v>528</v>
      </c>
      <c r="C37" s="4" t="s">
        <v>520</v>
      </c>
      <c r="D37" s="4" t="s">
        <v>488</v>
      </c>
      <c r="E37" s="31">
        <v>31000</v>
      </c>
      <c r="F37" s="56">
        <v>1300000</v>
      </c>
      <c r="G37" s="76">
        <f>SUMIF(Sales[Employee_Name],Employees[[#This Row],[Employee_Name]],Sales[Net_Sales])</f>
        <v>34679</v>
      </c>
      <c r="H37" s="76">
        <f>SUMIF(Sales[Employee_Name],Employees[[#This Row],[Employee_Name]],Sales[Profit])</f>
        <v>10729</v>
      </c>
    </row>
    <row r="38" spans="1:8" x14ac:dyDescent="0.25">
      <c r="A38" s="17" t="s">
        <v>106</v>
      </c>
      <c r="B38" s="4" t="s">
        <v>529</v>
      </c>
      <c r="C38" s="4" t="s">
        <v>520</v>
      </c>
      <c r="D38" s="4" t="s">
        <v>486</v>
      </c>
      <c r="E38" s="31">
        <v>41500</v>
      </c>
      <c r="F38" s="56">
        <v>1290000</v>
      </c>
      <c r="G38" s="76">
        <f>SUMIF(Sales[Employee_Name],Employees[[#This Row],[Employee_Name]],Sales[Net_Sales])</f>
        <v>82752</v>
      </c>
      <c r="H38" s="76">
        <f>SUMIF(Sales[Employee_Name],Employees[[#This Row],[Employee_Name]],Sales[Profit])</f>
        <v>26352</v>
      </c>
    </row>
    <row r="39" spans="1:8" x14ac:dyDescent="0.25">
      <c r="A39" s="17" t="s">
        <v>530</v>
      </c>
      <c r="B39" s="4" t="s">
        <v>531</v>
      </c>
      <c r="C39" s="4" t="s">
        <v>520</v>
      </c>
      <c r="D39" s="4" t="s">
        <v>488</v>
      </c>
      <c r="E39" s="31">
        <v>37000</v>
      </c>
      <c r="F39" s="56">
        <v>1220000</v>
      </c>
      <c r="G39" s="76">
        <f>SUMIF(Sales[Employee_Name],Employees[[#This Row],[Employee_Name]],Sales[Net_Sales])</f>
        <v>0</v>
      </c>
      <c r="H39" s="76">
        <f>SUMIF(Sales[Employee_Name],Employees[[#This Row],[Employee_Name]],Sales[Profit])</f>
        <v>0</v>
      </c>
    </row>
    <row r="40" spans="1:8" x14ac:dyDescent="0.25">
      <c r="A40" s="17" t="s">
        <v>254</v>
      </c>
      <c r="B40" s="4" t="s">
        <v>532</v>
      </c>
      <c r="C40" s="4" t="s">
        <v>520</v>
      </c>
      <c r="D40" s="4" t="s">
        <v>491</v>
      </c>
      <c r="E40" s="31">
        <v>33500</v>
      </c>
      <c r="F40" s="56">
        <v>1100000</v>
      </c>
      <c r="G40" s="76">
        <f>SUMIF(Sales[Employee_Name],Employees[[#This Row],[Employee_Name]],Sales[Net_Sales])</f>
        <v>7560</v>
      </c>
      <c r="H40" s="76">
        <f>SUMIF(Sales[Employee_Name],Employees[[#This Row],[Employee_Name]],Sales[Profit])</f>
        <v>2160</v>
      </c>
    </row>
    <row r="41" spans="1:8" x14ac:dyDescent="0.25">
      <c r="A41" s="17" t="s">
        <v>189</v>
      </c>
      <c r="B41" s="4" t="s">
        <v>533</v>
      </c>
      <c r="C41" s="4" t="s">
        <v>520</v>
      </c>
      <c r="D41" s="4" t="s">
        <v>488</v>
      </c>
      <c r="E41" s="31">
        <v>44000</v>
      </c>
      <c r="F41" s="56">
        <v>1260000</v>
      </c>
      <c r="G41" s="76">
        <f>SUMIF(Sales[Employee_Name],Employees[[#This Row],[Employee_Name]],Sales[Net_Sales])</f>
        <v>155520</v>
      </c>
      <c r="H41" s="76">
        <f>SUMIF(Sales[Employee_Name],Employees[[#This Row],[Employee_Name]],Sales[Profit])</f>
        <v>33720</v>
      </c>
    </row>
    <row r="42" spans="1:8" x14ac:dyDescent="0.25">
      <c r="A42" s="17" t="s">
        <v>41</v>
      </c>
      <c r="B42" s="4" t="s">
        <v>534</v>
      </c>
      <c r="C42" s="4" t="s">
        <v>535</v>
      </c>
      <c r="D42" s="4" t="s">
        <v>491</v>
      </c>
      <c r="E42" s="31">
        <v>56000</v>
      </c>
      <c r="F42" s="56">
        <v>740000</v>
      </c>
      <c r="G42" s="76">
        <f>SUMIF(Sales[Employee_Name],Employees[[#This Row],[Employee_Name]],Sales[Net_Sales])</f>
        <v>174685</v>
      </c>
      <c r="H42" s="76">
        <f>SUMIF(Sales[Employee_Name],Employees[[#This Row],[Employee_Name]],Sales[Profit])</f>
        <v>50785</v>
      </c>
    </row>
    <row r="43" spans="1:8" x14ac:dyDescent="0.25">
      <c r="A43" s="17" t="s">
        <v>367</v>
      </c>
      <c r="B43" s="4" t="s">
        <v>536</v>
      </c>
      <c r="C43" s="4" t="s">
        <v>535</v>
      </c>
      <c r="D43" s="4" t="s">
        <v>488</v>
      </c>
      <c r="E43" s="31">
        <v>52000</v>
      </c>
      <c r="F43" s="56">
        <v>830000</v>
      </c>
      <c r="G43" s="76">
        <f>SUMIF(Sales[Employee_Name],Employees[[#This Row],[Employee_Name]],Sales[Net_Sales])</f>
        <v>87600</v>
      </c>
      <c r="H43" s="76">
        <f>SUMIF(Sales[Employee_Name],Employees[[#This Row],[Employee_Name]],Sales[Profit])</f>
        <v>29200</v>
      </c>
    </row>
    <row r="44" spans="1:8" x14ac:dyDescent="0.25">
      <c r="A44" s="17" t="s">
        <v>307</v>
      </c>
      <c r="B44" s="4" t="s">
        <v>537</v>
      </c>
      <c r="C44" s="4" t="s">
        <v>535</v>
      </c>
      <c r="D44" s="4" t="s">
        <v>486</v>
      </c>
      <c r="E44" s="31">
        <v>60000</v>
      </c>
      <c r="F44" s="56">
        <v>920000</v>
      </c>
      <c r="G44" s="76">
        <f>SUMIF(Sales[Employee_Name],Employees[[#This Row],[Employee_Name]],Sales[Net_Sales])</f>
        <v>21120</v>
      </c>
      <c r="H44" s="76">
        <f>SUMIF(Sales[Employee_Name],Employees[[#This Row],[Employee_Name]],Sales[Profit])</f>
        <v>4120</v>
      </c>
    </row>
    <row r="45" spans="1:8" x14ac:dyDescent="0.25">
      <c r="A45" s="17" t="s">
        <v>114</v>
      </c>
      <c r="B45" s="4" t="s">
        <v>538</v>
      </c>
      <c r="C45" s="4" t="s">
        <v>535</v>
      </c>
      <c r="D45" s="4" t="s">
        <v>488</v>
      </c>
      <c r="E45" s="31">
        <v>51500</v>
      </c>
      <c r="F45" s="56">
        <v>670000</v>
      </c>
      <c r="G45" s="76">
        <f>SUMIF(Sales[Employee_Name],Employees[[#This Row],[Employee_Name]],Sales[Net_Sales])</f>
        <v>231120</v>
      </c>
      <c r="H45" s="76">
        <f>SUMIF(Sales[Employee_Name],Employees[[#This Row],[Employee_Name]],Sales[Profit])</f>
        <v>63720</v>
      </c>
    </row>
    <row r="46" spans="1:8" x14ac:dyDescent="0.25">
      <c r="A46" s="17" t="s">
        <v>130</v>
      </c>
      <c r="B46" s="4" t="s">
        <v>539</v>
      </c>
      <c r="C46" s="4" t="s">
        <v>535</v>
      </c>
      <c r="D46" s="4" t="s">
        <v>488</v>
      </c>
      <c r="E46" s="31">
        <v>37500</v>
      </c>
      <c r="F46" s="56">
        <v>690000</v>
      </c>
      <c r="G46" s="76">
        <f>SUMIF(Sales[Employee_Name],Employees[[#This Row],[Employee_Name]],Sales[Net_Sales])</f>
        <v>370440</v>
      </c>
      <c r="H46" s="76">
        <f>SUMIF(Sales[Employee_Name],Employees[[#This Row],[Employee_Name]],Sales[Profit])</f>
        <v>78940</v>
      </c>
    </row>
    <row r="47" spans="1:8" x14ac:dyDescent="0.25">
      <c r="A47" s="17" t="s">
        <v>141</v>
      </c>
      <c r="B47" s="4" t="s">
        <v>540</v>
      </c>
      <c r="C47" s="4" t="s">
        <v>535</v>
      </c>
      <c r="D47" s="4" t="s">
        <v>486</v>
      </c>
      <c r="E47" s="31">
        <v>35500</v>
      </c>
      <c r="F47" s="56">
        <v>790000</v>
      </c>
      <c r="G47" s="76">
        <f>SUMIF(Sales[Employee_Name],Employees[[#This Row],[Employee_Name]],Sales[Net_Sales])</f>
        <v>148620</v>
      </c>
      <c r="H47" s="76">
        <f>SUMIF(Sales[Employee_Name],Employees[[#This Row],[Employee_Name]],Sales[Profit])</f>
        <v>42320</v>
      </c>
    </row>
    <row r="48" spans="1:8" x14ac:dyDescent="0.25">
      <c r="A48" s="17" t="s">
        <v>181</v>
      </c>
      <c r="B48" s="4" t="s">
        <v>541</v>
      </c>
      <c r="C48" s="4" t="s">
        <v>535</v>
      </c>
      <c r="D48" s="4" t="s">
        <v>488</v>
      </c>
      <c r="E48" s="31">
        <v>62500</v>
      </c>
      <c r="F48" s="56">
        <v>680000</v>
      </c>
      <c r="G48" s="76">
        <f>SUMIF(Sales[Employee_Name],Employees[[#This Row],[Employee_Name]],Sales[Net_Sales])</f>
        <v>157212</v>
      </c>
      <c r="H48" s="76">
        <f>SUMIF(Sales[Employee_Name],Employees[[#This Row],[Employee_Name]],Sales[Profit])</f>
        <v>45012</v>
      </c>
    </row>
    <row r="49" spans="1:8" x14ac:dyDescent="0.25">
      <c r="A49" s="17" t="s">
        <v>127</v>
      </c>
      <c r="B49" s="4" t="s">
        <v>542</v>
      </c>
      <c r="C49" s="4" t="s">
        <v>535</v>
      </c>
      <c r="D49" s="4" t="s">
        <v>486</v>
      </c>
      <c r="E49" s="31">
        <v>45000</v>
      </c>
      <c r="F49" s="56">
        <v>670000</v>
      </c>
      <c r="G49" s="76">
        <f>SUMIF(Sales[Employee_Name],Employees[[#This Row],[Employee_Name]],Sales[Net_Sales])</f>
        <v>257730</v>
      </c>
      <c r="H49" s="76">
        <f>SUMIF(Sales[Employee_Name],Employees[[#This Row],[Employee_Name]],Sales[Profit])</f>
        <v>67930</v>
      </c>
    </row>
    <row r="50" spans="1:8" x14ac:dyDescent="0.25">
      <c r="A50" s="17" t="s">
        <v>345</v>
      </c>
      <c r="B50" s="4" t="s">
        <v>543</v>
      </c>
      <c r="C50" s="4" t="s">
        <v>535</v>
      </c>
      <c r="D50" s="4" t="s">
        <v>491</v>
      </c>
      <c r="E50" s="31">
        <v>37000</v>
      </c>
      <c r="F50" s="56">
        <v>660000</v>
      </c>
      <c r="G50" s="76">
        <f>SUMIF(Sales[Employee_Name],Employees[[#This Row],[Employee_Name]],Sales[Net_Sales])</f>
        <v>192120</v>
      </c>
      <c r="H50" s="76">
        <f>SUMIF(Sales[Employee_Name],Employees[[#This Row],[Employee_Name]],Sales[Profit])</f>
        <v>39620</v>
      </c>
    </row>
    <row r="51" spans="1:8" x14ac:dyDescent="0.25">
      <c r="A51" s="17" t="s">
        <v>544</v>
      </c>
      <c r="B51" s="4" t="s">
        <v>545</v>
      </c>
      <c r="C51" s="4" t="s">
        <v>535</v>
      </c>
      <c r="D51" s="4" t="s">
        <v>491</v>
      </c>
      <c r="E51" s="31">
        <v>62500</v>
      </c>
      <c r="F51" s="56">
        <v>910000</v>
      </c>
      <c r="G51" s="76">
        <f>SUMIF(Sales[Employee_Name],Employees[[#This Row],[Employee_Name]],Sales[Net_Sales])</f>
        <v>0</v>
      </c>
      <c r="H51" s="76">
        <f>SUMIF(Sales[Employee_Name],Employees[[#This Row],[Employee_Name]],Sales[Profit])</f>
        <v>0</v>
      </c>
    </row>
    <row r="52" spans="1:8" x14ac:dyDescent="0.25">
      <c r="A52" s="17" t="s">
        <v>154</v>
      </c>
      <c r="B52" s="4" t="s">
        <v>546</v>
      </c>
      <c r="C52" s="4" t="s">
        <v>547</v>
      </c>
      <c r="D52" s="4" t="s">
        <v>486</v>
      </c>
      <c r="E52" s="31">
        <v>44500</v>
      </c>
      <c r="F52" s="56">
        <v>840000</v>
      </c>
      <c r="G52" s="76">
        <f>SUMIF(Sales[Employee_Name],Employees[[#This Row],[Employee_Name]],Sales[Net_Sales])</f>
        <v>365068</v>
      </c>
      <c r="H52" s="76">
        <f>SUMIF(Sales[Employee_Name],Employees[[#This Row],[Employee_Name]],Sales[Profit])</f>
        <v>81568</v>
      </c>
    </row>
    <row r="53" spans="1:8" x14ac:dyDescent="0.25">
      <c r="A53" s="17" t="s">
        <v>548</v>
      </c>
      <c r="B53" s="4" t="s">
        <v>549</v>
      </c>
      <c r="C53" s="4" t="s">
        <v>547</v>
      </c>
      <c r="D53" s="4" t="s">
        <v>491</v>
      </c>
      <c r="E53" s="31">
        <v>41500</v>
      </c>
      <c r="F53" s="56">
        <v>730000</v>
      </c>
      <c r="G53" s="76">
        <f>SUMIF(Sales[Employee_Name],Employees[[#This Row],[Employee_Name]],Sales[Net_Sales])</f>
        <v>0</v>
      </c>
      <c r="H53" s="76">
        <f>SUMIF(Sales[Employee_Name],Employees[[#This Row],[Employee_Name]],Sales[Profit])</f>
        <v>0</v>
      </c>
    </row>
    <row r="54" spans="1:8" x14ac:dyDescent="0.25">
      <c r="A54" s="17" t="s">
        <v>550</v>
      </c>
      <c r="B54" s="4" t="s">
        <v>551</v>
      </c>
      <c r="C54" s="4" t="s">
        <v>547</v>
      </c>
      <c r="D54" s="4" t="s">
        <v>488</v>
      </c>
      <c r="E54" s="31">
        <v>30000</v>
      </c>
      <c r="F54" s="56">
        <v>610000</v>
      </c>
      <c r="G54" s="76">
        <f>SUMIF(Sales[Employee_Name],Employees[[#This Row],[Employee_Name]],Sales[Net_Sales])</f>
        <v>0</v>
      </c>
      <c r="H54" s="76">
        <f>SUMIF(Sales[Employee_Name],Employees[[#This Row],[Employee_Name]],Sales[Profit])</f>
        <v>0</v>
      </c>
    </row>
    <row r="55" spans="1:8" x14ac:dyDescent="0.25">
      <c r="A55" s="17" t="s">
        <v>233</v>
      </c>
      <c r="B55" s="4" t="s">
        <v>552</v>
      </c>
      <c r="C55" s="4" t="s">
        <v>547</v>
      </c>
      <c r="D55" s="4" t="s">
        <v>486</v>
      </c>
      <c r="E55" s="31">
        <v>46500</v>
      </c>
      <c r="F55" s="56">
        <v>760000</v>
      </c>
      <c r="G55" s="76">
        <f>SUMIF(Sales[Employee_Name],Employees[[#This Row],[Employee_Name]],Sales[Net_Sales])</f>
        <v>57024</v>
      </c>
      <c r="H55" s="76">
        <f>SUMIF(Sales[Employee_Name],Employees[[#This Row],[Employee_Name]],Sales[Profit])</f>
        <v>13824</v>
      </c>
    </row>
    <row r="56" spans="1:8" x14ac:dyDescent="0.25">
      <c r="A56" s="17" t="s">
        <v>139</v>
      </c>
      <c r="B56" s="4" t="s">
        <v>553</v>
      </c>
      <c r="C56" s="4" t="s">
        <v>547</v>
      </c>
      <c r="D56" s="4" t="s">
        <v>491</v>
      </c>
      <c r="E56" s="31">
        <v>43000</v>
      </c>
      <c r="F56" s="56">
        <v>840000</v>
      </c>
      <c r="G56" s="76">
        <f>SUMIF(Sales[Employee_Name],Employees[[#This Row],[Employee_Name]],Sales[Net_Sales])</f>
        <v>318288</v>
      </c>
      <c r="H56" s="76">
        <f>SUMIF(Sales[Employee_Name],Employees[[#This Row],[Employee_Name]],Sales[Profit])</f>
        <v>70288</v>
      </c>
    </row>
    <row r="57" spans="1:8" x14ac:dyDescent="0.25">
      <c r="A57" s="17" t="s">
        <v>213</v>
      </c>
      <c r="B57" s="4" t="s">
        <v>554</v>
      </c>
      <c r="C57" s="4" t="s">
        <v>547</v>
      </c>
      <c r="D57" s="4" t="s">
        <v>491</v>
      </c>
      <c r="E57" s="31">
        <v>34000</v>
      </c>
      <c r="F57" s="56">
        <v>750000</v>
      </c>
      <c r="G57" s="76">
        <f>SUMIF(Sales[Employee_Name],Employees[[#This Row],[Employee_Name]],Sales[Net_Sales])</f>
        <v>47520</v>
      </c>
      <c r="H57" s="76">
        <f>SUMIF(Sales[Employee_Name],Employees[[#This Row],[Employee_Name]],Sales[Profit])</f>
        <v>11520</v>
      </c>
    </row>
    <row r="58" spans="1:8" x14ac:dyDescent="0.25">
      <c r="A58" s="17" t="s">
        <v>278</v>
      </c>
      <c r="B58" s="4" t="s">
        <v>555</v>
      </c>
      <c r="C58" s="4" t="s">
        <v>547</v>
      </c>
      <c r="D58" s="4" t="s">
        <v>486</v>
      </c>
      <c r="E58" s="31">
        <v>41000</v>
      </c>
      <c r="F58" s="56">
        <v>830000</v>
      </c>
      <c r="G58" s="76">
        <f>SUMIF(Sales[Employee_Name],Employees[[#This Row],[Employee_Name]],Sales[Net_Sales])</f>
        <v>796160</v>
      </c>
      <c r="H58" s="76">
        <f>SUMIF(Sales[Employee_Name],Employees[[#This Row],[Employee_Name]],Sales[Profit])</f>
        <v>143160</v>
      </c>
    </row>
    <row r="59" spans="1:8" x14ac:dyDescent="0.25">
      <c r="A59" s="17" t="s">
        <v>334</v>
      </c>
      <c r="B59" s="4" t="s">
        <v>556</v>
      </c>
      <c r="C59" s="4" t="s">
        <v>547</v>
      </c>
      <c r="D59" s="4" t="s">
        <v>488</v>
      </c>
      <c r="E59" s="31">
        <v>32000</v>
      </c>
      <c r="F59" s="56">
        <v>710000</v>
      </c>
      <c r="G59" s="76">
        <f>SUMIF(Sales[Employee_Name],Employees[[#This Row],[Employee_Name]],Sales[Net_Sales])</f>
        <v>56304</v>
      </c>
      <c r="H59" s="76">
        <f>SUMIF(Sales[Employee_Name],Employees[[#This Row],[Employee_Name]],Sales[Profit])</f>
        <v>15804</v>
      </c>
    </row>
    <row r="60" spans="1:8" x14ac:dyDescent="0.25">
      <c r="A60" s="17" t="s">
        <v>135</v>
      </c>
      <c r="B60" s="4" t="s">
        <v>557</v>
      </c>
      <c r="C60" s="4" t="s">
        <v>478</v>
      </c>
      <c r="D60" s="4" t="s">
        <v>486</v>
      </c>
      <c r="E60" s="31">
        <v>37500</v>
      </c>
      <c r="F60" s="56">
        <v>910000</v>
      </c>
      <c r="G60" s="76">
        <f>SUMIF(Sales[Employee_Name],Employees[[#This Row],[Employee_Name]],Sales[Net_Sales])</f>
        <v>163680</v>
      </c>
      <c r="H60" s="76">
        <f>SUMIF(Sales[Employee_Name],Employees[[#This Row],[Employee_Name]],Sales[Profit])</f>
        <v>34680</v>
      </c>
    </row>
    <row r="61" spans="1:8" x14ac:dyDescent="0.25">
      <c r="A61" s="17" t="s">
        <v>170</v>
      </c>
      <c r="B61" s="4" t="s">
        <v>558</v>
      </c>
      <c r="C61" s="4" t="s">
        <v>478</v>
      </c>
      <c r="D61" s="4" t="s">
        <v>491</v>
      </c>
      <c r="E61" s="31">
        <v>32500</v>
      </c>
      <c r="F61" s="56">
        <v>910000</v>
      </c>
      <c r="G61" s="76">
        <f>SUMIF(Sales[Employee_Name],Employees[[#This Row],[Employee_Name]],Sales[Net_Sales])</f>
        <v>275400</v>
      </c>
      <c r="H61" s="76">
        <f>SUMIF(Sales[Employee_Name],Employees[[#This Row],[Employee_Name]],Sales[Profit])</f>
        <v>67900</v>
      </c>
    </row>
    <row r="62" spans="1:8" x14ac:dyDescent="0.25">
      <c r="A62" s="17" t="s">
        <v>230</v>
      </c>
      <c r="B62" s="4" t="s">
        <v>559</v>
      </c>
      <c r="C62" s="4" t="s">
        <v>478</v>
      </c>
      <c r="D62" s="4" t="s">
        <v>491</v>
      </c>
      <c r="E62" s="31">
        <v>49000</v>
      </c>
      <c r="F62" s="56">
        <v>790000</v>
      </c>
      <c r="G62" s="76">
        <f>SUMIF(Sales[Employee_Name],Employees[[#This Row],[Employee_Name]],Sales[Net_Sales])</f>
        <v>1245920</v>
      </c>
      <c r="H62" s="76">
        <f>SUMIF(Sales[Employee_Name],Employees[[#This Row],[Employee_Name]],Sales[Profit])</f>
        <v>153920</v>
      </c>
    </row>
    <row r="63" spans="1:8" x14ac:dyDescent="0.25">
      <c r="A63" s="17" t="s">
        <v>560</v>
      </c>
      <c r="B63" s="4" t="s">
        <v>561</v>
      </c>
      <c r="C63" s="4" t="s">
        <v>478</v>
      </c>
      <c r="D63" s="4" t="s">
        <v>491</v>
      </c>
      <c r="E63" s="31">
        <v>30500</v>
      </c>
      <c r="F63" s="56">
        <v>860000</v>
      </c>
      <c r="G63" s="76">
        <f>SUMIF(Sales[Employee_Name],Employees[[#This Row],[Employee_Name]],Sales[Net_Sales])</f>
        <v>0</v>
      </c>
      <c r="H63" s="76">
        <f>SUMIF(Sales[Employee_Name],Employees[[#This Row],[Employee_Name]],Sales[Profit])</f>
        <v>0</v>
      </c>
    </row>
    <row r="64" spans="1:8" x14ac:dyDescent="0.25">
      <c r="A64" s="17" t="s">
        <v>201</v>
      </c>
      <c r="B64" s="4" t="s">
        <v>562</v>
      </c>
      <c r="C64" s="4" t="s">
        <v>478</v>
      </c>
      <c r="D64" s="4" t="s">
        <v>486</v>
      </c>
      <c r="E64" s="31">
        <v>34500</v>
      </c>
      <c r="F64" s="56">
        <v>850000</v>
      </c>
      <c r="G64" s="76">
        <f>SUMIF(Sales[Employee_Name],Employees[[#This Row],[Employee_Name]],Sales[Net_Sales])</f>
        <v>360940</v>
      </c>
      <c r="H64" s="76">
        <f>SUMIF(Sales[Employee_Name],Employees[[#This Row],[Employee_Name]],Sales[Profit])</f>
        <v>42740</v>
      </c>
    </row>
    <row r="65" spans="1:8" x14ac:dyDescent="0.25">
      <c r="A65" s="17" t="s">
        <v>205</v>
      </c>
      <c r="B65" s="4" t="s">
        <v>563</v>
      </c>
      <c r="C65" s="4" t="s">
        <v>478</v>
      </c>
      <c r="D65" s="4" t="s">
        <v>488</v>
      </c>
      <c r="E65" s="31">
        <v>33000</v>
      </c>
      <c r="F65" s="56">
        <v>910000</v>
      </c>
      <c r="G65" s="76">
        <f>SUMIF(Sales[Employee_Name],Employees[[#This Row],[Employee_Name]],Sales[Net_Sales])</f>
        <v>213987</v>
      </c>
      <c r="H65" s="76">
        <f>SUMIF(Sales[Employee_Name],Employees[[#This Row],[Employee_Name]],Sales[Profit])</f>
        <v>56787</v>
      </c>
    </row>
    <row r="66" spans="1:8" x14ac:dyDescent="0.25">
      <c r="A66" s="17" t="s">
        <v>564</v>
      </c>
      <c r="B66" s="4" t="s">
        <v>565</v>
      </c>
      <c r="C66" s="4" t="s">
        <v>478</v>
      </c>
      <c r="D66" s="4" t="s">
        <v>491</v>
      </c>
      <c r="E66" s="31">
        <v>37000</v>
      </c>
      <c r="F66" s="56">
        <v>760000</v>
      </c>
      <c r="G66" s="76">
        <f>SUMIF(Sales[Employee_Name],Employees[[#This Row],[Employee_Name]],Sales[Net_Sales])</f>
        <v>0</v>
      </c>
      <c r="H66" s="76">
        <f>SUMIF(Sales[Employee_Name],Employees[[#This Row],[Employee_Name]],Sales[Profit])</f>
        <v>0</v>
      </c>
    </row>
    <row r="67" spans="1:8" x14ac:dyDescent="0.25">
      <c r="A67" s="17" t="s">
        <v>119</v>
      </c>
      <c r="B67" s="4" t="s">
        <v>566</v>
      </c>
      <c r="C67" s="4" t="s">
        <v>478</v>
      </c>
      <c r="D67" s="4" t="s">
        <v>491</v>
      </c>
      <c r="E67" s="31">
        <v>47500</v>
      </c>
      <c r="F67" s="56">
        <v>680000</v>
      </c>
      <c r="G67" s="76">
        <f>SUMIF(Sales[Employee_Name],Employees[[#This Row],[Employee_Name]],Sales[Net_Sales])</f>
        <v>150732</v>
      </c>
      <c r="H67" s="76">
        <f>SUMIF(Sales[Employee_Name],Employees[[#This Row],[Employee_Name]],Sales[Profit])</f>
        <v>39932</v>
      </c>
    </row>
    <row r="68" spans="1:8" x14ac:dyDescent="0.25">
      <c r="A68" s="17" t="s">
        <v>191</v>
      </c>
      <c r="B68" s="4" t="s">
        <v>567</v>
      </c>
      <c r="C68" s="4" t="s">
        <v>478</v>
      </c>
      <c r="D68" s="4" t="s">
        <v>486</v>
      </c>
      <c r="E68" s="31">
        <v>43500</v>
      </c>
      <c r="F68" s="56">
        <v>910000</v>
      </c>
      <c r="G68" s="76">
        <f>SUMIF(Sales[Employee_Name],Employees[[#This Row],[Employee_Name]],Sales[Net_Sales])</f>
        <v>293824</v>
      </c>
      <c r="H68" s="76">
        <f>SUMIF(Sales[Employee_Name],Employees[[#This Row],[Employee_Name]],Sales[Profit])</f>
        <v>80124</v>
      </c>
    </row>
    <row r="69" spans="1:8" x14ac:dyDescent="0.25">
      <c r="A69" s="17" t="s">
        <v>239</v>
      </c>
      <c r="B69" s="4" t="s">
        <v>568</v>
      </c>
      <c r="C69" s="4" t="s">
        <v>478</v>
      </c>
      <c r="D69" s="4" t="s">
        <v>488</v>
      </c>
      <c r="E69" s="31">
        <v>39000</v>
      </c>
      <c r="F69" s="56">
        <v>740000</v>
      </c>
      <c r="G69" s="76">
        <f>SUMIF(Sales[Employee_Name],Employees[[#This Row],[Employee_Name]],Sales[Net_Sales])</f>
        <v>103100</v>
      </c>
      <c r="H69" s="76">
        <f>SUMIF(Sales[Employee_Name],Employees[[#This Row],[Employee_Name]],Sales[Profit])</f>
        <v>35450</v>
      </c>
    </row>
    <row r="70" spans="1:8" x14ac:dyDescent="0.25">
      <c r="A70" s="17" t="s">
        <v>31</v>
      </c>
      <c r="B70" s="4" t="s">
        <v>569</v>
      </c>
      <c r="C70" s="4" t="s">
        <v>478</v>
      </c>
      <c r="D70" s="4" t="s">
        <v>488</v>
      </c>
      <c r="E70" s="31">
        <v>44000</v>
      </c>
      <c r="F70" s="56">
        <v>770000</v>
      </c>
      <c r="G70" s="76">
        <f>SUMIF(Sales[Employee_Name],Employees[[#This Row],[Employee_Name]],Sales[Net_Sales])</f>
        <v>19536</v>
      </c>
      <c r="H70" s="76">
        <f>SUMIF(Sales[Employee_Name],Employees[[#This Row],[Employee_Name]],Sales[Profit])</f>
        <v>4736</v>
      </c>
    </row>
    <row r="71" spans="1:8" x14ac:dyDescent="0.25">
      <c r="A71" s="17" t="s">
        <v>177</v>
      </c>
      <c r="B71" s="4" t="s">
        <v>570</v>
      </c>
      <c r="C71" s="4" t="s">
        <v>478</v>
      </c>
      <c r="D71" s="4" t="s">
        <v>486</v>
      </c>
      <c r="E71" s="31">
        <v>44500</v>
      </c>
      <c r="F71" s="56">
        <v>670000</v>
      </c>
      <c r="G71" s="76">
        <f>SUMIF(Sales[Employee_Name],Employees[[#This Row],[Employee_Name]],Sales[Net_Sales])</f>
        <v>546380</v>
      </c>
      <c r="H71" s="76">
        <f>SUMIF(Sales[Employee_Name],Employees[[#This Row],[Employee_Name]],Sales[Profit])</f>
        <v>87380</v>
      </c>
    </row>
    <row r="72" spans="1:8" x14ac:dyDescent="0.25">
      <c r="A72" s="17" t="s">
        <v>281</v>
      </c>
      <c r="B72" s="4" t="s">
        <v>571</v>
      </c>
      <c r="C72" s="4" t="s">
        <v>478</v>
      </c>
      <c r="D72" s="4" t="s">
        <v>486</v>
      </c>
      <c r="E72" s="31">
        <v>44500</v>
      </c>
      <c r="F72" s="56">
        <v>990000</v>
      </c>
      <c r="G72" s="76">
        <f>SUMIF(Sales[Employee_Name],Employees[[#This Row],[Employee_Name]],Sales[Net_Sales])</f>
        <v>114720</v>
      </c>
      <c r="H72" s="76">
        <f>SUMIF(Sales[Employee_Name],Employees[[#This Row],[Employee_Name]],Sales[Profit])</f>
        <v>36320</v>
      </c>
    </row>
    <row r="73" spans="1:8" x14ac:dyDescent="0.25">
      <c r="A73" s="17" t="s">
        <v>572</v>
      </c>
      <c r="B73" s="4" t="s">
        <v>573</v>
      </c>
      <c r="C73" s="4" t="s">
        <v>478</v>
      </c>
      <c r="D73" s="4" t="s">
        <v>491</v>
      </c>
      <c r="E73" s="31">
        <v>40000</v>
      </c>
      <c r="F73" s="56">
        <v>780000</v>
      </c>
      <c r="G73" s="76">
        <f>SUMIF(Sales[Employee_Name],Employees[[#This Row],[Employee_Name]],Sales[Net_Sales])</f>
        <v>172976</v>
      </c>
      <c r="H73" s="76">
        <f>SUMIF(Sales[Employee_Name],Employees[[#This Row],[Employee_Name]],Sales[Profit])</f>
        <v>37976</v>
      </c>
    </row>
    <row r="74" spans="1:8" x14ac:dyDescent="0.25">
      <c r="A74" s="17" t="s">
        <v>104</v>
      </c>
      <c r="B74" s="4" t="s">
        <v>574</v>
      </c>
      <c r="C74" s="4" t="s">
        <v>478</v>
      </c>
      <c r="D74" s="4" t="s">
        <v>491</v>
      </c>
      <c r="E74" s="31">
        <v>37500</v>
      </c>
      <c r="F74" s="56">
        <v>940000</v>
      </c>
      <c r="G74" s="76">
        <f>SUMIF(Sales[Employee_Name],Employees[[#This Row],[Employee_Name]],Sales[Net_Sales])</f>
        <v>663000</v>
      </c>
      <c r="H74" s="76">
        <f>SUMIF(Sales[Employee_Name],Employees[[#This Row],[Employee_Name]],Sales[Profit])</f>
        <v>164000</v>
      </c>
    </row>
    <row r="75" spans="1:8" x14ac:dyDescent="0.25">
      <c r="A75" s="17" t="s">
        <v>124</v>
      </c>
      <c r="B75" s="4" t="s">
        <v>575</v>
      </c>
      <c r="C75" s="4" t="s">
        <v>478</v>
      </c>
      <c r="D75" s="4" t="s">
        <v>488</v>
      </c>
      <c r="E75" s="31">
        <v>43000</v>
      </c>
      <c r="F75" s="56">
        <v>890000</v>
      </c>
      <c r="G75" s="76">
        <f>SUMIF(Sales[Employee_Name],Employees[[#This Row],[Employee_Name]],Sales[Net_Sales])</f>
        <v>28800</v>
      </c>
      <c r="H75" s="76">
        <f>SUMIF(Sales[Employee_Name],Employees[[#This Row],[Employee_Name]],Sales[Profit])</f>
        <v>9600</v>
      </c>
    </row>
    <row r="76" spans="1:8" x14ac:dyDescent="0.25">
      <c r="A76" s="17" t="s">
        <v>322</v>
      </c>
      <c r="B76" s="4" t="s">
        <v>576</v>
      </c>
      <c r="C76" s="4" t="s">
        <v>478</v>
      </c>
      <c r="D76" s="4" t="s">
        <v>488</v>
      </c>
      <c r="E76" s="31">
        <v>39000</v>
      </c>
      <c r="F76" s="56">
        <v>930000</v>
      </c>
      <c r="G76" s="76">
        <f>SUMIF(Sales[Employee_Name],Employees[[#This Row],[Employee_Name]],Sales[Net_Sales])</f>
        <v>16936</v>
      </c>
      <c r="H76" s="76">
        <f>SUMIF(Sales[Employee_Name],Employees[[#This Row],[Employee_Name]],Sales[Profit])</f>
        <v>6336</v>
      </c>
    </row>
    <row r="77" spans="1:8" x14ac:dyDescent="0.25">
      <c r="A77" s="17" t="s">
        <v>132</v>
      </c>
      <c r="B77" s="4" t="s">
        <v>577</v>
      </c>
      <c r="C77" s="4" t="s">
        <v>478</v>
      </c>
      <c r="D77" s="4" t="s">
        <v>488</v>
      </c>
      <c r="E77" s="31">
        <v>36000</v>
      </c>
      <c r="F77" s="56">
        <v>760000</v>
      </c>
      <c r="G77" s="76">
        <f>SUMIF(Sales[Employee_Name],Employees[[#This Row],[Employee_Name]],Sales[Net_Sales])</f>
        <v>180900</v>
      </c>
      <c r="H77" s="76">
        <f>SUMIF(Sales[Employee_Name],Employees[[#This Row],[Employee_Name]],Sales[Profit])</f>
        <v>41600</v>
      </c>
    </row>
    <row r="78" spans="1:8" x14ac:dyDescent="0.25">
      <c r="A78" s="17" t="s">
        <v>173</v>
      </c>
      <c r="B78" s="4" t="s">
        <v>578</v>
      </c>
      <c r="C78" s="4" t="s">
        <v>579</v>
      </c>
      <c r="D78" s="4" t="s">
        <v>486</v>
      </c>
      <c r="E78" s="31">
        <v>31500</v>
      </c>
      <c r="F78" s="56">
        <v>570000</v>
      </c>
      <c r="G78" s="76">
        <f>SUMIF(Sales[Employee_Name],Employees[[#This Row],[Employee_Name]],Sales[Net_Sales])</f>
        <v>105968</v>
      </c>
      <c r="H78" s="76">
        <f>SUMIF(Sales[Employee_Name],Employees[[#This Row],[Employee_Name]],Sales[Profit])</f>
        <v>36168</v>
      </c>
    </row>
    <row r="79" spans="1:8" x14ac:dyDescent="0.25">
      <c r="A79" s="17" t="s">
        <v>330</v>
      </c>
      <c r="B79" s="4" t="s">
        <v>580</v>
      </c>
      <c r="C79" s="4" t="s">
        <v>579</v>
      </c>
      <c r="D79" s="4" t="s">
        <v>488</v>
      </c>
      <c r="E79" s="31">
        <v>33500</v>
      </c>
      <c r="F79" s="56">
        <v>530000</v>
      </c>
      <c r="G79" s="76">
        <f>SUMIF(Sales[Employee_Name],Employees[[#This Row],[Employee_Name]],Sales[Net_Sales])</f>
        <v>10800</v>
      </c>
      <c r="H79" s="76">
        <f>SUMIF(Sales[Employee_Name],Employees[[#This Row],[Employee_Name]],Sales[Profit])</f>
        <v>3600</v>
      </c>
    </row>
    <row r="80" spans="1:8" x14ac:dyDescent="0.25">
      <c r="A80" s="17" t="s">
        <v>47</v>
      </c>
      <c r="B80" s="4" t="s">
        <v>581</v>
      </c>
      <c r="C80" s="4" t="s">
        <v>579</v>
      </c>
      <c r="D80" s="4" t="s">
        <v>486</v>
      </c>
      <c r="E80" s="31">
        <v>37500</v>
      </c>
      <c r="F80" s="56">
        <v>890000</v>
      </c>
      <c r="G80" s="76">
        <f>SUMIF(Sales[Employee_Name],Employees[[#This Row],[Employee_Name]],Sales[Net_Sales])</f>
        <v>518144</v>
      </c>
      <c r="H80" s="76">
        <f>SUMIF(Sales[Employee_Name],Employees[[#This Row],[Employee_Name]],Sales[Profit])</f>
        <v>59444</v>
      </c>
    </row>
    <row r="81" spans="1:8" x14ac:dyDescent="0.25">
      <c r="A81" s="17" t="s">
        <v>87</v>
      </c>
      <c r="B81" s="4" t="s">
        <v>582</v>
      </c>
      <c r="C81" s="4" t="s">
        <v>579</v>
      </c>
      <c r="D81" s="4" t="s">
        <v>491</v>
      </c>
      <c r="E81" s="31">
        <v>45500</v>
      </c>
      <c r="F81" s="56">
        <v>670000</v>
      </c>
      <c r="G81" s="76">
        <f>SUMIF(Sales[Employee_Name],Employees[[#This Row],[Employee_Name]],Sales[Net_Sales])</f>
        <v>64800</v>
      </c>
      <c r="H81" s="76">
        <f>SUMIF(Sales[Employee_Name],Employees[[#This Row],[Employee_Name]],Sales[Profit])</f>
        <v>12800</v>
      </c>
    </row>
    <row r="82" spans="1:8" x14ac:dyDescent="0.25">
      <c r="A82" s="17" t="s">
        <v>109</v>
      </c>
      <c r="B82" s="4" t="s">
        <v>583</v>
      </c>
      <c r="C82" s="4" t="s">
        <v>579</v>
      </c>
      <c r="D82" s="4" t="s">
        <v>488</v>
      </c>
      <c r="E82" s="31">
        <v>33500</v>
      </c>
      <c r="F82" s="56">
        <v>860000</v>
      </c>
      <c r="G82" s="76">
        <f>SUMIF(Sales[Employee_Name],Employees[[#This Row],[Employee_Name]],Sales[Net_Sales])</f>
        <v>47950</v>
      </c>
      <c r="H82" s="76">
        <f>SUMIF(Sales[Employee_Name],Employees[[#This Row],[Employee_Name]],Sales[Profit])</f>
        <v>15950</v>
      </c>
    </row>
    <row r="83" spans="1:8" x14ac:dyDescent="0.25">
      <c r="A83" s="17" t="s">
        <v>55</v>
      </c>
      <c r="B83" s="4" t="s">
        <v>584</v>
      </c>
      <c r="C83" s="4" t="s">
        <v>579</v>
      </c>
      <c r="D83" s="4" t="s">
        <v>488</v>
      </c>
      <c r="E83" s="31">
        <v>31000</v>
      </c>
      <c r="F83" s="56">
        <v>630000</v>
      </c>
      <c r="G83" s="76">
        <f>SUMIF(Sales[Employee_Name],Employees[[#This Row],[Employee_Name]],Sales[Net_Sales])</f>
        <v>66144</v>
      </c>
      <c r="H83" s="76">
        <f>SUMIF(Sales[Employee_Name],Employees[[#This Row],[Employee_Name]],Sales[Profit])</f>
        <v>17144</v>
      </c>
    </row>
    <row r="84" spans="1:8" x14ac:dyDescent="0.25">
      <c r="A84" s="17" t="s">
        <v>381</v>
      </c>
      <c r="B84" s="4" t="s">
        <v>585</v>
      </c>
      <c r="C84" s="4" t="s">
        <v>579</v>
      </c>
      <c r="D84" s="4" t="s">
        <v>491</v>
      </c>
      <c r="E84" s="31">
        <v>39000</v>
      </c>
      <c r="F84" s="56">
        <v>720000</v>
      </c>
      <c r="G84" s="76">
        <f>SUMIF(Sales[Employee_Name],Employees[[#This Row],[Employee_Name]],Sales[Net_Sales])</f>
        <v>48600</v>
      </c>
      <c r="H84" s="76">
        <f>SUMIF(Sales[Employee_Name],Employees[[#This Row],[Employee_Name]],Sales[Profit])</f>
        <v>9600</v>
      </c>
    </row>
    <row r="85" spans="1:8" x14ac:dyDescent="0.25">
      <c r="A85" s="17" t="s">
        <v>371</v>
      </c>
      <c r="B85" s="4" t="s">
        <v>586</v>
      </c>
      <c r="C85" s="4" t="s">
        <v>579</v>
      </c>
      <c r="D85" s="4" t="s">
        <v>486</v>
      </c>
      <c r="E85" s="31">
        <v>42000</v>
      </c>
      <c r="F85" s="56">
        <v>760000</v>
      </c>
      <c r="G85" s="76">
        <f>SUMIF(Sales[Employee_Name],Employees[[#This Row],[Employee_Name]],Sales[Net_Sales])</f>
        <v>9240</v>
      </c>
      <c r="H85" s="76">
        <f>SUMIF(Sales[Employee_Name],Employees[[#This Row],[Employee_Name]],Sales[Profit])</f>
        <v>1740</v>
      </c>
    </row>
    <row r="86" spans="1:8" x14ac:dyDescent="0.25">
      <c r="A86" s="17" t="s">
        <v>261</v>
      </c>
      <c r="B86" s="4" t="s">
        <v>587</v>
      </c>
      <c r="C86" s="4" t="s">
        <v>579</v>
      </c>
      <c r="D86" s="4" t="s">
        <v>491</v>
      </c>
      <c r="E86" s="31">
        <v>35000</v>
      </c>
      <c r="F86" s="56">
        <v>520000</v>
      </c>
      <c r="G86" s="76">
        <f>SUMIF(Sales[Employee_Name],Employees[[#This Row],[Employee_Name]],Sales[Net_Sales])</f>
        <v>59800</v>
      </c>
      <c r="H86" s="76">
        <f>SUMIF(Sales[Employee_Name],Employees[[#This Row],[Employee_Name]],Sales[Profit])</f>
        <v>17800</v>
      </c>
    </row>
    <row r="87" spans="1:8" x14ac:dyDescent="0.25">
      <c r="A87" s="17" t="s">
        <v>276</v>
      </c>
      <c r="B87" s="4" t="s">
        <v>588</v>
      </c>
      <c r="C87" s="4" t="s">
        <v>579</v>
      </c>
      <c r="D87" s="4" t="s">
        <v>488</v>
      </c>
      <c r="E87" s="31">
        <v>42000</v>
      </c>
      <c r="F87" s="56">
        <v>700000</v>
      </c>
      <c r="G87" s="76">
        <f>SUMIF(Sales[Employee_Name],Employees[[#This Row],[Employee_Name]],Sales[Net_Sales])</f>
        <v>243240</v>
      </c>
      <c r="H87" s="76">
        <f>SUMIF(Sales[Employee_Name],Employees[[#This Row],[Employee_Name]],Sales[Profit])</f>
        <v>50740</v>
      </c>
    </row>
    <row r="88" spans="1:8" x14ac:dyDescent="0.25">
      <c r="A88" s="17" t="s">
        <v>216</v>
      </c>
      <c r="B88" s="4" t="s">
        <v>589</v>
      </c>
      <c r="C88" s="4" t="s">
        <v>590</v>
      </c>
      <c r="D88" s="4" t="s">
        <v>486</v>
      </c>
      <c r="E88" s="31">
        <v>32000</v>
      </c>
      <c r="F88" s="56">
        <v>580000</v>
      </c>
      <c r="G88" s="76">
        <f>SUMIF(Sales[Employee_Name],Employees[[#This Row],[Employee_Name]],Sales[Net_Sales])</f>
        <v>259200</v>
      </c>
      <c r="H88" s="76">
        <f>SUMIF(Sales[Employee_Name],Employees[[#This Row],[Employee_Name]],Sales[Profit])</f>
        <v>54700</v>
      </c>
    </row>
    <row r="89" spans="1:8" x14ac:dyDescent="0.25">
      <c r="A89" s="17" t="s">
        <v>194</v>
      </c>
      <c r="B89" s="4" t="s">
        <v>591</v>
      </c>
      <c r="C89" s="4" t="s">
        <v>590</v>
      </c>
      <c r="D89" s="4" t="s">
        <v>486</v>
      </c>
      <c r="E89" s="31">
        <v>39000</v>
      </c>
      <c r="F89" s="56">
        <v>640000</v>
      </c>
      <c r="G89" s="76">
        <f>SUMIF(Sales[Employee_Name],Employees[[#This Row],[Employee_Name]],Sales[Net_Sales])</f>
        <v>34705</v>
      </c>
      <c r="H89" s="76">
        <f>SUMIF(Sales[Employee_Name],Employees[[#This Row],[Employee_Name]],Sales[Profit])</f>
        <v>13905</v>
      </c>
    </row>
    <row r="90" spans="1:8" x14ac:dyDescent="0.25">
      <c r="A90" s="17" t="s">
        <v>592</v>
      </c>
      <c r="B90" s="4" t="s">
        <v>593</v>
      </c>
      <c r="C90" s="4" t="s">
        <v>590</v>
      </c>
      <c r="D90" s="4" t="s">
        <v>488</v>
      </c>
      <c r="E90" s="31">
        <v>29000</v>
      </c>
      <c r="F90" s="56">
        <v>460000</v>
      </c>
      <c r="G90" s="76">
        <f>SUMIF(Sales[Employee_Name],Employees[[#This Row],[Employee_Name]],Sales[Net_Sales])</f>
        <v>0</v>
      </c>
      <c r="H90" s="76">
        <f>SUMIF(Sales[Employee_Name],Employees[[#This Row],[Employee_Name]],Sales[Profit])</f>
        <v>0</v>
      </c>
    </row>
    <row r="91" spans="1:8" x14ac:dyDescent="0.25">
      <c r="A91" s="17" t="s">
        <v>342</v>
      </c>
      <c r="B91" s="4" t="s">
        <v>594</v>
      </c>
      <c r="C91" s="4" t="s">
        <v>590</v>
      </c>
      <c r="D91" s="4" t="s">
        <v>486</v>
      </c>
      <c r="E91" s="31">
        <v>36000</v>
      </c>
      <c r="F91" s="56">
        <v>740000</v>
      </c>
      <c r="G91" s="76">
        <f>SUMIF(Sales[Employee_Name],Employees[[#This Row],[Employee_Name]],Sales[Net_Sales])</f>
        <v>612000</v>
      </c>
      <c r="H91" s="76">
        <f>SUMIF(Sales[Employee_Name],Employees[[#This Row],[Employee_Name]],Sales[Profit])</f>
        <v>124400</v>
      </c>
    </row>
    <row r="92" spans="1:8" x14ac:dyDescent="0.25">
      <c r="A92" s="17" t="s">
        <v>595</v>
      </c>
      <c r="B92" s="4" t="s">
        <v>596</v>
      </c>
      <c r="C92" s="4" t="s">
        <v>590</v>
      </c>
      <c r="D92" s="4" t="s">
        <v>486</v>
      </c>
      <c r="E92" s="31">
        <v>39500</v>
      </c>
      <c r="F92" s="56">
        <v>540000</v>
      </c>
      <c r="G92" s="76">
        <f>SUMIF(Sales[Employee_Name],Employees[[#This Row],[Employee_Name]],Sales[Net_Sales])</f>
        <v>0</v>
      </c>
      <c r="H92" s="76">
        <f>SUMIF(Sales[Employee_Name],Employees[[#This Row],[Employee_Name]],Sales[Profit])</f>
        <v>0</v>
      </c>
    </row>
    <row r="93" spans="1:8" x14ac:dyDescent="0.25">
      <c r="A93" s="17" t="s">
        <v>236</v>
      </c>
      <c r="B93" s="4" t="s">
        <v>597</v>
      </c>
      <c r="C93" s="4" t="s">
        <v>590</v>
      </c>
      <c r="D93" s="4" t="s">
        <v>486</v>
      </c>
      <c r="E93" s="31">
        <v>33500</v>
      </c>
      <c r="F93" s="56">
        <v>720000</v>
      </c>
      <c r="G93" s="76">
        <f>SUMIF(Sales[Employee_Name],Employees[[#This Row],[Employee_Name]],Sales[Net_Sales])</f>
        <v>25920</v>
      </c>
      <c r="H93" s="76">
        <f>SUMIF(Sales[Employee_Name],Employees[[#This Row],[Employee_Name]],Sales[Profit])</f>
        <v>6720</v>
      </c>
    </row>
    <row r="94" spans="1:8" x14ac:dyDescent="0.25">
      <c r="A94" s="17" t="s">
        <v>598</v>
      </c>
      <c r="B94" s="4" t="s">
        <v>599</v>
      </c>
      <c r="C94" s="4" t="s">
        <v>590</v>
      </c>
      <c r="D94" s="4" t="s">
        <v>488</v>
      </c>
      <c r="E94" s="31">
        <v>27500</v>
      </c>
      <c r="F94" s="56">
        <v>610000</v>
      </c>
      <c r="G94" s="76">
        <f>SUMIF(Sales[Employee_Name],Employees[[#This Row],[Employee_Name]],Sales[Net_Sales])</f>
        <v>0</v>
      </c>
      <c r="H94" s="76">
        <f>SUMIF(Sales[Employee_Name],Employees[[#This Row],[Employee_Name]],Sales[Profit])</f>
        <v>0</v>
      </c>
    </row>
    <row r="95" spans="1:8" x14ac:dyDescent="0.25">
      <c r="A95" s="17" t="s">
        <v>97</v>
      </c>
      <c r="B95" s="4" t="s">
        <v>600</v>
      </c>
      <c r="C95" s="4" t="s">
        <v>590</v>
      </c>
      <c r="D95" s="4" t="s">
        <v>488</v>
      </c>
      <c r="E95" s="31">
        <v>32000</v>
      </c>
      <c r="F95" s="56">
        <v>560000</v>
      </c>
      <c r="G95" s="76">
        <f>SUMIF(Sales[Employee_Name],Employees[[#This Row],[Employee_Name]],Sales[Net_Sales])</f>
        <v>361000</v>
      </c>
      <c r="H95" s="76">
        <f>SUMIF(Sales[Employee_Name],Employees[[#This Row],[Employee_Name]],Sales[Profit])</f>
        <v>61000</v>
      </c>
    </row>
    <row r="96" spans="1:8" x14ac:dyDescent="0.25">
      <c r="A96" s="22" t="s">
        <v>601</v>
      </c>
      <c r="B96" s="24" t="s">
        <v>602</v>
      </c>
      <c r="C96" s="24" t="s">
        <v>590</v>
      </c>
      <c r="D96" s="24" t="s">
        <v>486</v>
      </c>
      <c r="E96" s="32">
        <v>33000</v>
      </c>
      <c r="F96" s="57">
        <v>530000</v>
      </c>
      <c r="G96" s="76">
        <f>SUMIF(Sales[Employee_Name],Employees[[#This Row],[Employee_Name]],Sales[Net_Sales])</f>
        <v>0</v>
      </c>
      <c r="H96" s="76">
        <f>SUMIF(Sales[Employee_Name],Employees[[#This Row],[Employee_Name]],Sales[Profit])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E51"/>
  <sheetViews>
    <sheetView workbookViewId="0">
      <pane ySplit="1" topLeftCell="A23" activePane="bottomLeft" state="frozen"/>
      <selection activeCell="I10" sqref="I10"/>
      <selection pane="bottomLeft" activeCell="A36" sqref="A36"/>
    </sheetView>
  </sheetViews>
  <sheetFormatPr defaultRowHeight="15" x14ac:dyDescent="0.25"/>
  <cols>
    <col min="1" max="1" width="15" customWidth="1"/>
    <col min="2" max="2" width="38" customWidth="1"/>
    <col min="3" max="3" width="20.7109375" customWidth="1"/>
    <col min="4" max="4" width="14.28515625" customWidth="1"/>
    <col min="5" max="5" width="20.140625" customWidth="1"/>
  </cols>
  <sheetData>
    <row r="1" spans="1:5" ht="24" customHeight="1" x14ac:dyDescent="0.25">
      <c r="A1" s="46" t="s">
        <v>21</v>
      </c>
      <c r="B1" s="47" t="s">
        <v>389</v>
      </c>
      <c r="C1" s="47" t="s">
        <v>390</v>
      </c>
      <c r="D1" s="47" t="s">
        <v>391</v>
      </c>
      <c r="E1" s="47" t="s">
        <v>392</v>
      </c>
    </row>
    <row r="2" spans="1:5" x14ac:dyDescent="0.25">
      <c r="A2" s="17" t="s">
        <v>192</v>
      </c>
      <c r="B2" s="4" t="s">
        <v>393</v>
      </c>
      <c r="C2" s="4" t="s">
        <v>394</v>
      </c>
      <c r="D2" s="4" t="s">
        <v>34</v>
      </c>
      <c r="E2" s="4" t="s">
        <v>395</v>
      </c>
    </row>
    <row r="3" spans="1:5" x14ac:dyDescent="0.25">
      <c r="A3" s="17" t="s">
        <v>396</v>
      </c>
      <c r="B3" s="4" t="s">
        <v>397</v>
      </c>
      <c r="C3" s="4" t="s">
        <v>398</v>
      </c>
      <c r="D3" s="4" t="s">
        <v>102</v>
      </c>
      <c r="E3" s="4" t="s">
        <v>399</v>
      </c>
    </row>
    <row r="4" spans="1:5" x14ac:dyDescent="0.25">
      <c r="A4" s="17" t="s">
        <v>112</v>
      </c>
      <c r="B4" s="4" t="s">
        <v>400</v>
      </c>
      <c r="C4" s="4" t="s">
        <v>398</v>
      </c>
      <c r="D4" s="4" t="s">
        <v>102</v>
      </c>
      <c r="E4" s="4" t="s">
        <v>399</v>
      </c>
    </row>
    <row r="5" spans="1:5" x14ac:dyDescent="0.25">
      <c r="A5" s="17" t="s">
        <v>227</v>
      </c>
      <c r="B5" s="4" t="s">
        <v>401</v>
      </c>
      <c r="C5" s="4" t="s">
        <v>398</v>
      </c>
      <c r="D5" s="4" t="s">
        <v>44</v>
      </c>
      <c r="E5" s="4" t="s">
        <v>402</v>
      </c>
    </row>
    <row r="6" spans="1:5" x14ac:dyDescent="0.25">
      <c r="A6" s="17" t="s">
        <v>262</v>
      </c>
      <c r="B6" s="4" t="s">
        <v>403</v>
      </c>
      <c r="C6" s="4" t="s">
        <v>394</v>
      </c>
      <c r="D6" s="4" t="s">
        <v>39</v>
      </c>
      <c r="E6" s="4" t="s">
        <v>399</v>
      </c>
    </row>
    <row r="7" spans="1:5" x14ac:dyDescent="0.25">
      <c r="A7" s="17" t="s">
        <v>182</v>
      </c>
      <c r="B7" s="4" t="s">
        <v>404</v>
      </c>
      <c r="C7" s="4" t="s">
        <v>398</v>
      </c>
      <c r="D7" s="4" t="s">
        <v>102</v>
      </c>
      <c r="E7" s="4" t="s">
        <v>395</v>
      </c>
    </row>
    <row r="8" spans="1:5" x14ac:dyDescent="0.25">
      <c r="A8" s="17" t="s">
        <v>405</v>
      </c>
      <c r="B8" s="4" t="s">
        <v>406</v>
      </c>
      <c r="C8" s="4" t="s">
        <v>398</v>
      </c>
      <c r="D8" s="4" t="s">
        <v>63</v>
      </c>
      <c r="E8" s="4" t="s">
        <v>402</v>
      </c>
    </row>
    <row r="9" spans="1:5" x14ac:dyDescent="0.25">
      <c r="A9" s="17" t="s">
        <v>90</v>
      </c>
      <c r="B9" s="4" t="s">
        <v>407</v>
      </c>
      <c r="C9" s="4" t="s">
        <v>398</v>
      </c>
      <c r="D9" s="4" t="s">
        <v>63</v>
      </c>
      <c r="E9" s="4" t="s">
        <v>402</v>
      </c>
    </row>
    <row r="10" spans="1:5" x14ac:dyDescent="0.25">
      <c r="A10" s="17" t="s">
        <v>151</v>
      </c>
      <c r="B10" s="4" t="s">
        <v>408</v>
      </c>
      <c r="C10" s="4" t="s">
        <v>409</v>
      </c>
      <c r="D10" s="4" t="s">
        <v>63</v>
      </c>
      <c r="E10" s="4" t="s">
        <v>395</v>
      </c>
    </row>
    <row r="11" spans="1:5" x14ac:dyDescent="0.25">
      <c r="A11" s="17" t="s">
        <v>77</v>
      </c>
      <c r="B11" s="4" t="s">
        <v>410</v>
      </c>
      <c r="C11" s="4" t="s">
        <v>409</v>
      </c>
      <c r="D11" s="4" t="s">
        <v>63</v>
      </c>
      <c r="E11" s="4" t="s">
        <v>402</v>
      </c>
    </row>
    <row r="12" spans="1:5" x14ac:dyDescent="0.25">
      <c r="A12" s="17" t="s">
        <v>70</v>
      </c>
      <c r="B12" s="4" t="s">
        <v>411</v>
      </c>
      <c r="C12" s="4" t="s">
        <v>409</v>
      </c>
      <c r="D12" s="4" t="s">
        <v>39</v>
      </c>
      <c r="E12" s="4" t="s">
        <v>402</v>
      </c>
    </row>
    <row r="13" spans="1:5" x14ac:dyDescent="0.25">
      <c r="A13" s="17" t="s">
        <v>133</v>
      </c>
      <c r="B13" s="4" t="s">
        <v>412</v>
      </c>
      <c r="C13" s="4" t="s">
        <v>398</v>
      </c>
      <c r="D13" s="4" t="s">
        <v>39</v>
      </c>
      <c r="E13" s="4" t="s">
        <v>402</v>
      </c>
    </row>
    <row r="14" spans="1:5" x14ac:dyDescent="0.25">
      <c r="A14" s="17" t="s">
        <v>305</v>
      </c>
      <c r="B14" s="4" t="s">
        <v>413</v>
      </c>
      <c r="C14" s="4" t="s">
        <v>398</v>
      </c>
      <c r="D14" s="4" t="s">
        <v>34</v>
      </c>
      <c r="E14" s="4" t="s">
        <v>399</v>
      </c>
    </row>
    <row r="15" spans="1:5" x14ac:dyDescent="0.25">
      <c r="A15" s="17" t="s">
        <v>166</v>
      </c>
      <c r="B15" s="4" t="s">
        <v>414</v>
      </c>
      <c r="C15" s="4" t="s">
        <v>394</v>
      </c>
      <c r="D15" s="4" t="s">
        <v>34</v>
      </c>
      <c r="E15" s="4" t="s">
        <v>399</v>
      </c>
    </row>
    <row r="16" spans="1:5" x14ac:dyDescent="0.25">
      <c r="A16" s="17" t="s">
        <v>107</v>
      </c>
      <c r="B16" s="4" t="s">
        <v>415</v>
      </c>
      <c r="C16" s="4" t="s">
        <v>409</v>
      </c>
      <c r="D16" s="4" t="s">
        <v>34</v>
      </c>
      <c r="E16" s="4" t="s">
        <v>399</v>
      </c>
    </row>
    <row r="17" spans="1:5" x14ac:dyDescent="0.25">
      <c r="A17" s="17" t="s">
        <v>219</v>
      </c>
      <c r="B17" s="4" t="s">
        <v>416</v>
      </c>
      <c r="C17" s="4" t="s">
        <v>409</v>
      </c>
      <c r="D17" s="4" t="s">
        <v>63</v>
      </c>
      <c r="E17" s="4" t="s">
        <v>399</v>
      </c>
    </row>
    <row r="18" spans="1:5" x14ac:dyDescent="0.25">
      <c r="A18" s="17" t="s">
        <v>56</v>
      </c>
      <c r="B18" s="4" t="s">
        <v>417</v>
      </c>
      <c r="C18" s="4" t="s">
        <v>398</v>
      </c>
      <c r="D18" s="4" t="s">
        <v>63</v>
      </c>
      <c r="E18" s="4" t="s">
        <v>399</v>
      </c>
    </row>
    <row r="19" spans="1:5" x14ac:dyDescent="0.25">
      <c r="A19" s="17" t="s">
        <v>136</v>
      </c>
      <c r="B19" s="4" t="s">
        <v>418</v>
      </c>
      <c r="C19" s="4" t="s">
        <v>398</v>
      </c>
      <c r="D19" s="4" t="s">
        <v>34</v>
      </c>
      <c r="E19" s="4" t="s">
        <v>402</v>
      </c>
    </row>
    <row r="20" spans="1:5" x14ac:dyDescent="0.25">
      <c r="A20" s="17" t="s">
        <v>120</v>
      </c>
      <c r="B20" s="4" t="s">
        <v>419</v>
      </c>
      <c r="C20" s="4" t="s">
        <v>394</v>
      </c>
      <c r="D20" s="4" t="s">
        <v>44</v>
      </c>
      <c r="E20" s="4" t="s">
        <v>402</v>
      </c>
    </row>
    <row r="21" spans="1:5" x14ac:dyDescent="0.25">
      <c r="A21" s="17" t="s">
        <v>202</v>
      </c>
      <c r="B21" s="4" t="s">
        <v>420</v>
      </c>
      <c r="C21" s="4" t="s">
        <v>409</v>
      </c>
      <c r="D21" s="4" t="s">
        <v>102</v>
      </c>
      <c r="E21" s="4" t="s">
        <v>395</v>
      </c>
    </row>
    <row r="22" spans="1:5" x14ac:dyDescent="0.25">
      <c r="A22" s="17" t="s">
        <v>66</v>
      </c>
      <c r="B22" s="4" t="s">
        <v>421</v>
      </c>
      <c r="C22" s="4" t="s">
        <v>398</v>
      </c>
      <c r="D22" s="4" t="s">
        <v>63</v>
      </c>
      <c r="E22" s="4" t="s">
        <v>402</v>
      </c>
    </row>
    <row r="23" spans="1:5" x14ac:dyDescent="0.25">
      <c r="A23" s="17" t="s">
        <v>164</v>
      </c>
      <c r="B23" s="4" t="s">
        <v>422</v>
      </c>
      <c r="C23" s="4" t="s">
        <v>394</v>
      </c>
      <c r="D23" s="4" t="s">
        <v>44</v>
      </c>
      <c r="E23" s="4" t="s">
        <v>402</v>
      </c>
    </row>
    <row r="24" spans="1:5" x14ac:dyDescent="0.25">
      <c r="A24" s="17" t="s">
        <v>101</v>
      </c>
      <c r="B24" s="4" t="s">
        <v>423</v>
      </c>
      <c r="C24" s="4" t="s">
        <v>394</v>
      </c>
      <c r="D24" s="4" t="s">
        <v>102</v>
      </c>
      <c r="E24" s="4" t="s">
        <v>402</v>
      </c>
    </row>
    <row r="25" spans="1:5" x14ac:dyDescent="0.25">
      <c r="A25" s="17" t="s">
        <v>48</v>
      </c>
      <c r="B25" s="4" t="s">
        <v>424</v>
      </c>
      <c r="C25" s="4" t="s">
        <v>398</v>
      </c>
      <c r="D25" s="4" t="s">
        <v>39</v>
      </c>
      <c r="E25" s="4" t="s">
        <v>402</v>
      </c>
    </row>
    <row r="26" spans="1:5" x14ac:dyDescent="0.25">
      <c r="A26" s="17" t="s">
        <v>209</v>
      </c>
      <c r="B26" s="4" t="s">
        <v>425</v>
      </c>
      <c r="C26" s="4" t="s">
        <v>394</v>
      </c>
      <c r="D26" s="4" t="s">
        <v>102</v>
      </c>
      <c r="E26" s="4" t="s">
        <v>395</v>
      </c>
    </row>
    <row r="27" spans="1:5" x14ac:dyDescent="0.25">
      <c r="A27" s="17" t="s">
        <v>128</v>
      </c>
      <c r="B27" s="4" t="s">
        <v>426</v>
      </c>
      <c r="C27" s="4" t="s">
        <v>409</v>
      </c>
      <c r="D27" s="4" t="s">
        <v>34</v>
      </c>
      <c r="E27" s="4" t="s">
        <v>402</v>
      </c>
    </row>
    <row r="28" spans="1:5" x14ac:dyDescent="0.25">
      <c r="A28" s="17" t="s">
        <v>38</v>
      </c>
      <c r="B28" s="4" t="s">
        <v>427</v>
      </c>
      <c r="C28" s="4" t="s">
        <v>398</v>
      </c>
      <c r="D28" s="4" t="s">
        <v>39</v>
      </c>
      <c r="E28" s="4" t="s">
        <v>399</v>
      </c>
    </row>
    <row r="29" spans="1:5" x14ac:dyDescent="0.25">
      <c r="A29" s="17" t="s">
        <v>98</v>
      </c>
      <c r="B29" s="4" t="s">
        <v>428</v>
      </c>
      <c r="C29" s="4" t="s">
        <v>409</v>
      </c>
      <c r="D29" s="4" t="s">
        <v>39</v>
      </c>
      <c r="E29" s="4" t="s">
        <v>399</v>
      </c>
    </row>
    <row r="30" spans="1:5" x14ac:dyDescent="0.25">
      <c r="A30" s="17" t="s">
        <v>52</v>
      </c>
      <c r="B30" s="4" t="s">
        <v>429</v>
      </c>
      <c r="C30" s="4" t="s">
        <v>394</v>
      </c>
      <c r="D30" s="4" t="s">
        <v>39</v>
      </c>
      <c r="E30" s="4" t="s">
        <v>395</v>
      </c>
    </row>
    <row r="31" spans="1:5" x14ac:dyDescent="0.25">
      <c r="A31" s="17" t="s">
        <v>158</v>
      </c>
      <c r="B31" s="4" t="s">
        <v>430</v>
      </c>
      <c r="C31" s="4" t="s">
        <v>394</v>
      </c>
      <c r="D31" s="4" t="s">
        <v>44</v>
      </c>
      <c r="E31" s="4" t="s">
        <v>395</v>
      </c>
    </row>
    <row r="32" spans="1:5" x14ac:dyDescent="0.25">
      <c r="A32" s="17" t="s">
        <v>74</v>
      </c>
      <c r="B32" s="4" t="s">
        <v>431</v>
      </c>
      <c r="C32" s="4" t="s">
        <v>398</v>
      </c>
      <c r="D32" s="4" t="s">
        <v>63</v>
      </c>
      <c r="E32" s="4" t="s">
        <v>402</v>
      </c>
    </row>
    <row r="33" spans="1:5" x14ac:dyDescent="0.25">
      <c r="A33" s="17" t="s">
        <v>241</v>
      </c>
      <c r="B33" s="4" t="s">
        <v>432</v>
      </c>
      <c r="C33" s="4" t="s">
        <v>398</v>
      </c>
      <c r="D33" s="4" t="s">
        <v>63</v>
      </c>
      <c r="E33" s="4" t="s">
        <v>399</v>
      </c>
    </row>
    <row r="34" spans="1:5" x14ac:dyDescent="0.25">
      <c r="A34" s="17" t="s">
        <v>369</v>
      </c>
      <c r="B34" s="4" t="s">
        <v>433</v>
      </c>
      <c r="C34" s="4" t="s">
        <v>409</v>
      </c>
      <c r="D34" s="4" t="s">
        <v>44</v>
      </c>
      <c r="E34" s="4" t="s">
        <v>395</v>
      </c>
    </row>
    <row r="35" spans="1:5" x14ac:dyDescent="0.25">
      <c r="A35" s="17" t="s">
        <v>161</v>
      </c>
      <c r="B35" s="4" t="s">
        <v>434</v>
      </c>
      <c r="C35" s="4" t="s">
        <v>409</v>
      </c>
      <c r="D35" s="4" t="s">
        <v>39</v>
      </c>
      <c r="E35" s="4" t="s">
        <v>402</v>
      </c>
    </row>
    <row r="36" spans="1:5" x14ac:dyDescent="0.25">
      <c r="A36" s="17" t="s">
        <v>94</v>
      </c>
      <c r="B36" s="4" t="s">
        <v>435</v>
      </c>
      <c r="C36" s="4" t="s">
        <v>398</v>
      </c>
      <c r="D36" s="4" t="s">
        <v>63</v>
      </c>
      <c r="E36" s="4" t="s">
        <v>399</v>
      </c>
    </row>
    <row r="37" spans="1:5" x14ac:dyDescent="0.25">
      <c r="A37" s="17" t="s">
        <v>272</v>
      </c>
      <c r="B37" s="4" t="s">
        <v>436</v>
      </c>
      <c r="C37" s="4" t="s">
        <v>394</v>
      </c>
      <c r="D37" s="4" t="s">
        <v>44</v>
      </c>
      <c r="E37" s="4" t="s">
        <v>402</v>
      </c>
    </row>
    <row r="38" spans="1:5" x14ac:dyDescent="0.25">
      <c r="A38" s="17" t="s">
        <v>148</v>
      </c>
      <c r="B38" s="4" t="s">
        <v>437</v>
      </c>
      <c r="C38" s="4" t="s">
        <v>409</v>
      </c>
      <c r="D38" s="4" t="s">
        <v>102</v>
      </c>
      <c r="E38" s="4" t="s">
        <v>402</v>
      </c>
    </row>
    <row r="39" spans="1:5" x14ac:dyDescent="0.25">
      <c r="A39" s="17" t="s">
        <v>231</v>
      </c>
      <c r="B39" s="4" t="s">
        <v>438</v>
      </c>
      <c r="C39" s="4" t="s">
        <v>394</v>
      </c>
      <c r="D39" s="4" t="s">
        <v>44</v>
      </c>
      <c r="E39" s="4" t="s">
        <v>395</v>
      </c>
    </row>
    <row r="40" spans="1:5" x14ac:dyDescent="0.25">
      <c r="A40" s="17" t="s">
        <v>84</v>
      </c>
      <c r="B40" s="4" t="s">
        <v>439</v>
      </c>
      <c r="C40" s="4" t="s">
        <v>409</v>
      </c>
      <c r="D40" s="4" t="s">
        <v>44</v>
      </c>
      <c r="E40" s="4" t="s">
        <v>395</v>
      </c>
    </row>
    <row r="41" spans="1:5" x14ac:dyDescent="0.25">
      <c r="A41" s="17" t="s">
        <v>42</v>
      </c>
      <c r="B41" s="4" t="s">
        <v>440</v>
      </c>
      <c r="C41" s="4" t="s">
        <v>394</v>
      </c>
      <c r="D41" s="4" t="s">
        <v>44</v>
      </c>
      <c r="E41" s="4" t="s">
        <v>395</v>
      </c>
    </row>
    <row r="42" spans="1:5" x14ac:dyDescent="0.25">
      <c r="A42" s="17" t="s">
        <v>142</v>
      </c>
      <c r="B42" s="4" t="s">
        <v>441</v>
      </c>
      <c r="C42" s="4" t="s">
        <v>398</v>
      </c>
      <c r="D42" s="4" t="s">
        <v>102</v>
      </c>
      <c r="E42" s="4" t="s">
        <v>399</v>
      </c>
    </row>
    <row r="43" spans="1:5" x14ac:dyDescent="0.25">
      <c r="A43" s="17" t="s">
        <v>88</v>
      </c>
      <c r="B43" s="4" t="s">
        <v>442</v>
      </c>
      <c r="C43" s="4" t="s">
        <v>409</v>
      </c>
      <c r="D43" s="4" t="s">
        <v>44</v>
      </c>
      <c r="E43" s="4" t="s">
        <v>402</v>
      </c>
    </row>
    <row r="44" spans="1:5" x14ac:dyDescent="0.25">
      <c r="A44" s="17" t="s">
        <v>115</v>
      </c>
      <c r="B44" s="4" t="s">
        <v>443</v>
      </c>
      <c r="C44" s="4" t="s">
        <v>394</v>
      </c>
      <c r="D44" s="4" t="s">
        <v>44</v>
      </c>
      <c r="E44" s="4" t="s">
        <v>395</v>
      </c>
    </row>
    <row r="45" spans="1:5" x14ac:dyDescent="0.25">
      <c r="A45" s="17" t="s">
        <v>234</v>
      </c>
      <c r="B45" s="4" t="s">
        <v>444</v>
      </c>
      <c r="C45" s="4" t="s">
        <v>398</v>
      </c>
      <c r="D45" s="4" t="s">
        <v>63</v>
      </c>
      <c r="E45" s="4" t="s">
        <v>402</v>
      </c>
    </row>
    <row r="46" spans="1:5" x14ac:dyDescent="0.25">
      <c r="A46" s="17" t="s">
        <v>314</v>
      </c>
      <c r="B46" s="4" t="s">
        <v>445</v>
      </c>
      <c r="C46" s="4" t="s">
        <v>398</v>
      </c>
      <c r="D46" s="4" t="s">
        <v>102</v>
      </c>
      <c r="E46" s="4" t="s">
        <v>399</v>
      </c>
    </row>
    <row r="47" spans="1:5" x14ac:dyDescent="0.25">
      <c r="A47" s="17" t="s">
        <v>171</v>
      </c>
      <c r="B47" s="4" t="s">
        <v>446</v>
      </c>
      <c r="C47" s="4" t="s">
        <v>394</v>
      </c>
      <c r="D47" s="4" t="s">
        <v>34</v>
      </c>
      <c r="E47" s="4" t="s">
        <v>395</v>
      </c>
    </row>
    <row r="48" spans="1:5" x14ac:dyDescent="0.25">
      <c r="A48" s="17" t="s">
        <v>144</v>
      </c>
      <c r="B48" s="4" t="s">
        <v>447</v>
      </c>
      <c r="C48" s="4" t="s">
        <v>398</v>
      </c>
      <c r="D48" s="4" t="s">
        <v>63</v>
      </c>
      <c r="E48" s="4" t="s">
        <v>402</v>
      </c>
    </row>
    <row r="49" spans="1:5" x14ac:dyDescent="0.25">
      <c r="A49" s="17" t="s">
        <v>185</v>
      </c>
      <c r="B49" s="4" t="s">
        <v>448</v>
      </c>
      <c r="C49" s="4" t="s">
        <v>394</v>
      </c>
      <c r="D49" s="4" t="s">
        <v>102</v>
      </c>
      <c r="E49" s="4" t="s">
        <v>402</v>
      </c>
    </row>
    <row r="50" spans="1:5" x14ac:dyDescent="0.25">
      <c r="A50" s="17" t="s">
        <v>174</v>
      </c>
      <c r="B50" s="4" t="s">
        <v>449</v>
      </c>
      <c r="C50" s="4" t="s">
        <v>409</v>
      </c>
      <c r="D50" s="4" t="s">
        <v>102</v>
      </c>
      <c r="E50" s="4" t="s">
        <v>395</v>
      </c>
    </row>
    <row r="51" spans="1:5" x14ac:dyDescent="0.25">
      <c r="A51" s="17" t="s">
        <v>125</v>
      </c>
      <c r="B51" s="4" t="s">
        <v>450</v>
      </c>
      <c r="C51" s="4" t="s">
        <v>398</v>
      </c>
      <c r="D51" s="4" t="s">
        <v>39</v>
      </c>
      <c r="E51" s="4" t="s">
        <v>395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J21"/>
  <sheetViews>
    <sheetView showGridLines="0" workbookViewId="0">
      <pane ySplit="1" topLeftCell="A2" activePane="bottomLeft" state="frozen"/>
      <selection activeCell="I10" sqref="I10"/>
      <selection pane="bottomLeft" activeCell="B2" sqref="B2"/>
    </sheetView>
  </sheetViews>
  <sheetFormatPr defaultRowHeight="15" x14ac:dyDescent="0.25"/>
  <cols>
    <col min="1" max="1" width="13" bestFit="1" customWidth="1"/>
    <col min="2" max="2" width="26.42578125" customWidth="1"/>
    <col min="3" max="3" width="18.85546875" customWidth="1"/>
    <col min="4" max="6" width="12" customWidth="1"/>
    <col min="7" max="7" width="11.42578125" bestFit="1" customWidth="1"/>
    <col min="8" max="8" width="12.5703125" bestFit="1" customWidth="1"/>
    <col min="9" max="10" width="12.140625" bestFit="1" customWidth="1"/>
  </cols>
  <sheetData>
    <row r="1" spans="1:10" ht="24" customHeight="1" x14ac:dyDescent="0.25">
      <c r="A1" s="19" t="s">
        <v>22</v>
      </c>
      <c r="B1" s="20" t="s">
        <v>451</v>
      </c>
      <c r="C1" s="20" t="s">
        <v>452</v>
      </c>
      <c r="D1" s="21" t="s">
        <v>790</v>
      </c>
      <c r="E1" s="20" t="s">
        <v>453</v>
      </c>
      <c r="F1" s="21" t="s">
        <v>454</v>
      </c>
      <c r="G1" s="21" t="s">
        <v>791</v>
      </c>
      <c r="H1" s="154" t="s">
        <v>756</v>
      </c>
      <c r="I1" s="154" t="s">
        <v>789</v>
      </c>
      <c r="J1" s="154" t="s">
        <v>659</v>
      </c>
    </row>
    <row r="2" spans="1:10" x14ac:dyDescent="0.25">
      <c r="A2" s="17" t="s">
        <v>95</v>
      </c>
      <c r="B2" s="4" t="s">
        <v>455</v>
      </c>
      <c r="C2" s="4" t="s">
        <v>456</v>
      </c>
      <c r="D2" s="56">
        <f>SUMIF(Sales[Product_Name],Product[[#This Row],[Product_Name]],Sales[Quantity])</f>
        <v>126</v>
      </c>
      <c r="E2" s="31">
        <v>42000</v>
      </c>
      <c r="F2" s="56">
        <v>52000</v>
      </c>
      <c r="G2" s="155">
        <f>Product[[#This Row],[Unit_Cost]]*Product[[#This Row],[CountUnit]]</f>
        <v>5292000</v>
      </c>
      <c r="H2" s="76">
        <f>SUMIF(Sales[Product_Name],Product[[#This Row],[Product_Name]],Sales[Net_Sales])</f>
        <v>6080880</v>
      </c>
      <c r="I2" s="76">
        <f>SUMIF(Sales[Product_Name],Product[[#This Row],[Product_Name]],Sales[Profit])</f>
        <v>788880</v>
      </c>
      <c r="J2" s="150">
        <f>Product[[#This Row],[Net_Profit]]/Product[[#This Row],[Net_Cost]]</f>
        <v>0.1490702947845805</v>
      </c>
    </row>
    <row r="3" spans="1:10" x14ac:dyDescent="0.25">
      <c r="A3" s="17" t="s">
        <v>99</v>
      </c>
      <c r="B3" s="4" t="s">
        <v>457</v>
      </c>
      <c r="C3" s="4" t="s">
        <v>456</v>
      </c>
      <c r="D3" s="56">
        <f>SUMIF(Sales[Product_Name],Product[[#This Row],[Product_Name]],Sales[Quantity])</f>
        <v>67</v>
      </c>
      <c r="E3" s="31">
        <v>30000</v>
      </c>
      <c r="F3" s="56">
        <v>38000</v>
      </c>
      <c r="G3" s="155">
        <f>Product[[#This Row],[Unit_Cost]]*Product[[#This Row],[CountUnit]]</f>
        <v>2010000</v>
      </c>
      <c r="H3" s="76">
        <f>SUMIF(Sales[Product_Name],Product[[#This Row],[Product_Name]],Sales[Net_Sales])</f>
        <v>2403120</v>
      </c>
      <c r="I3" s="76">
        <f>SUMIF(Sales[Product_Name],Product[[#This Row],[Product_Name]],Sales[Profit])</f>
        <v>393120</v>
      </c>
      <c r="J3" s="150">
        <f>Product[[#This Row],[Net_Profit]]/Product[[#This Row],[Net_Cost]]</f>
        <v>0.1955820895522388</v>
      </c>
    </row>
    <row r="4" spans="1:10" x14ac:dyDescent="0.25">
      <c r="A4" s="17" t="s">
        <v>116</v>
      </c>
      <c r="B4" s="4" t="s">
        <v>458</v>
      </c>
      <c r="C4" s="4" t="s">
        <v>456</v>
      </c>
      <c r="D4" s="56">
        <f>SUMIF(Sales[Product_Name],Product[[#This Row],[Product_Name]],Sales[Quantity])</f>
        <v>93</v>
      </c>
      <c r="E4" s="31">
        <v>8500</v>
      </c>
      <c r="F4" s="56">
        <v>12000</v>
      </c>
      <c r="G4" s="155">
        <f>Product[[#This Row],[Unit_Cost]]*Product[[#This Row],[CountUnit]]</f>
        <v>790500</v>
      </c>
      <c r="H4" s="76">
        <f>SUMIF(Sales[Product_Name],Product[[#This Row],[Product_Name]],Sales[Net_Sales])</f>
        <v>1072320</v>
      </c>
      <c r="I4" s="76">
        <f>SUMIF(Sales[Product_Name],Product[[#This Row],[Product_Name]],Sales[Profit])</f>
        <v>281820</v>
      </c>
      <c r="J4" s="150">
        <f>Product[[#This Row],[Net_Profit]]/Product[[#This Row],[Net_Cost]]</f>
        <v>0.35650853889943074</v>
      </c>
    </row>
    <row r="5" spans="1:10" x14ac:dyDescent="0.25">
      <c r="A5" s="17" t="s">
        <v>152</v>
      </c>
      <c r="B5" s="4" t="s">
        <v>459</v>
      </c>
      <c r="C5" s="4" t="s">
        <v>460</v>
      </c>
      <c r="D5" s="56">
        <f>SUMIF(Sales[Product_Name],Product[[#This Row],[Product_Name]],Sales[Quantity])</f>
        <v>56</v>
      </c>
      <c r="E5" s="31">
        <v>1800</v>
      </c>
      <c r="F5" s="56">
        <v>2800</v>
      </c>
      <c r="G5" s="155">
        <f>Product[[#This Row],[Unit_Cost]]*Product[[#This Row],[CountUnit]]</f>
        <v>100800</v>
      </c>
      <c r="H5" s="76">
        <f>SUMIF(Sales[Product_Name],Product[[#This Row],[Product_Name]],Sales[Net_Sales])</f>
        <v>144928</v>
      </c>
      <c r="I5" s="76">
        <f>SUMIF(Sales[Product_Name],Product[[#This Row],[Product_Name]],Sales[Profit])</f>
        <v>44128</v>
      </c>
      <c r="J5" s="150">
        <f>Product[[#This Row],[Net_Profit]]/Product[[#This Row],[Net_Cost]]</f>
        <v>0.43777777777777777</v>
      </c>
    </row>
    <row r="6" spans="1:10" x14ac:dyDescent="0.25">
      <c r="A6" s="17" t="s">
        <v>195</v>
      </c>
      <c r="B6" s="4" t="s">
        <v>461</v>
      </c>
      <c r="C6" s="4" t="s">
        <v>460</v>
      </c>
      <c r="D6" s="56">
        <f>SUMIF(Sales[Product_Name],Product[[#This Row],[Product_Name]],Sales[Quantity])</f>
        <v>87</v>
      </c>
      <c r="E6" s="31">
        <v>650</v>
      </c>
      <c r="F6" s="56">
        <v>1100</v>
      </c>
      <c r="G6" s="155">
        <f>Product[[#This Row],[Unit_Cost]]*Product[[#This Row],[CountUnit]]</f>
        <v>56550</v>
      </c>
      <c r="H6" s="76">
        <f>SUMIF(Sales[Product_Name],Product[[#This Row],[Product_Name]],Sales[Net_Sales])</f>
        <v>92884</v>
      </c>
      <c r="I6" s="76">
        <f>SUMIF(Sales[Product_Name],Product[[#This Row],[Product_Name]],Sales[Profit])</f>
        <v>36334</v>
      </c>
      <c r="J6" s="150">
        <f>Product[[#This Row],[Net_Profit]]/Product[[#This Row],[Net_Cost]]</f>
        <v>0.64251105216622462</v>
      </c>
    </row>
    <row r="7" spans="1:10" x14ac:dyDescent="0.25">
      <c r="A7" s="17" t="s">
        <v>71</v>
      </c>
      <c r="B7" s="4" t="s">
        <v>462</v>
      </c>
      <c r="C7" s="4" t="s">
        <v>463</v>
      </c>
      <c r="D7" s="56">
        <f>SUMIF(Sales[Product_Name],Product[[#This Row],[Product_Name]],Sales[Quantity])</f>
        <v>56</v>
      </c>
      <c r="E7" s="31">
        <v>4800</v>
      </c>
      <c r="F7" s="56">
        <v>7200</v>
      </c>
      <c r="G7" s="155">
        <f>Product[[#This Row],[Unit_Cost]]*Product[[#This Row],[CountUnit]]</f>
        <v>268800</v>
      </c>
      <c r="H7" s="76">
        <f>SUMIF(Sales[Product_Name],Product[[#This Row],[Product_Name]],Sales[Net_Sales])</f>
        <v>372384</v>
      </c>
      <c r="I7" s="76">
        <f>SUMIF(Sales[Product_Name],Product[[#This Row],[Product_Name]],Sales[Profit])</f>
        <v>103584</v>
      </c>
      <c r="J7" s="150">
        <f>Product[[#This Row],[Net_Profit]]/Product[[#This Row],[Net_Cost]]</f>
        <v>0.38535714285714284</v>
      </c>
    </row>
    <row r="8" spans="1:10" x14ac:dyDescent="0.25">
      <c r="A8" s="17" t="s">
        <v>62</v>
      </c>
      <c r="B8" s="4" t="s">
        <v>464</v>
      </c>
      <c r="C8" s="4" t="s">
        <v>463</v>
      </c>
      <c r="D8" s="56">
        <f>SUMIF(Sales[Product_Name],Product[[#This Row],[Product_Name]],Sales[Quantity])</f>
        <v>82</v>
      </c>
      <c r="E8" s="31">
        <v>7500</v>
      </c>
      <c r="F8" s="56">
        <v>10500</v>
      </c>
      <c r="G8" s="155">
        <f>Product[[#This Row],[Unit_Cost]]*Product[[#This Row],[CountUnit]]</f>
        <v>615000</v>
      </c>
      <c r="H8" s="76">
        <f>SUMIF(Sales[Product_Name],Product[[#This Row],[Product_Name]],Sales[Net_Sales])</f>
        <v>804720</v>
      </c>
      <c r="I8" s="76">
        <f>SUMIF(Sales[Product_Name],Product[[#This Row],[Product_Name]],Sales[Profit])</f>
        <v>189720</v>
      </c>
      <c r="J8" s="150">
        <f>Product[[#This Row],[Net_Profit]]/Product[[#This Row],[Net_Cost]]</f>
        <v>0.30848780487804878</v>
      </c>
    </row>
    <row r="9" spans="1:10" x14ac:dyDescent="0.25">
      <c r="A9" s="17" t="s">
        <v>78</v>
      </c>
      <c r="B9" s="4" t="s">
        <v>465</v>
      </c>
      <c r="C9" s="4" t="s">
        <v>463</v>
      </c>
      <c r="D9" s="56">
        <f>SUMIF(Sales[Product_Name],Product[[#This Row],[Product_Name]],Sales[Quantity])</f>
        <v>110</v>
      </c>
      <c r="E9" s="31">
        <v>6500</v>
      </c>
      <c r="F9" s="56">
        <v>9000</v>
      </c>
      <c r="G9" s="155">
        <f>Product[[#This Row],[Unit_Cost]]*Product[[#This Row],[CountUnit]]</f>
        <v>715000</v>
      </c>
      <c r="H9" s="76">
        <f>SUMIF(Sales[Product_Name],Product[[#This Row],[Product_Name]],Sales[Net_Sales])</f>
        <v>913950</v>
      </c>
      <c r="I9" s="76">
        <f>SUMIF(Sales[Product_Name],Product[[#This Row],[Product_Name]],Sales[Profit])</f>
        <v>198950</v>
      </c>
      <c r="J9" s="150">
        <f>Product[[#This Row],[Net_Profit]]/Product[[#This Row],[Net_Cost]]</f>
        <v>0.27825174825174825</v>
      </c>
    </row>
    <row r="10" spans="1:10" x14ac:dyDescent="0.25">
      <c r="A10" s="17" t="s">
        <v>67</v>
      </c>
      <c r="B10" s="4" t="s">
        <v>466</v>
      </c>
      <c r="C10" s="4" t="s">
        <v>456</v>
      </c>
      <c r="D10" s="56">
        <f>SUMIF(Sales[Product_Name],Product[[#This Row],[Product_Name]],Sales[Quantity])</f>
        <v>93</v>
      </c>
      <c r="E10" s="31">
        <v>4500</v>
      </c>
      <c r="F10" s="56">
        <v>6800</v>
      </c>
      <c r="G10" s="155">
        <f>Product[[#This Row],[Unit_Cost]]*Product[[#This Row],[CountUnit]]</f>
        <v>418500</v>
      </c>
      <c r="H10" s="76">
        <f>SUMIF(Sales[Product_Name],Product[[#This Row],[Product_Name]],Sales[Net_Sales])</f>
        <v>590716</v>
      </c>
      <c r="I10" s="76">
        <f>SUMIF(Sales[Product_Name],Product[[#This Row],[Product_Name]],Sales[Profit])</f>
        <v>172216</v>
      </c>
      <c r="J10" s="150">
        <f>Product[[#This Row],[Net_Profit]]/Product[[#This Row],[Net_Cost]]</f>
        <v>0.41150776583034648</v>
      </c>
    </row>
    <row r="11" spans="1:10" x14ac:dyDescent="0.25">
      <c r="A11" s="17" t="s">
        <v>91</v>
      </c>
      <c r="B11" s="4" t="s">
        <v>467</v>
      </c>
      <c r="C11" s="4" t="s">
        <v>456</v>
      </c>
      <c r="D11" s="56">
        <f>SUMIF(Sales[Product_Name],Product[[#This Row],[Product_Name]],Sales[Quantity])</f>
        <v>121</v>
      </c>
      <c r="E11" s="31">
        <v>2200</v>
      </c>
      <c r="F11" s="56">
        <v>3400</v>
      </c>
      <c r="G11" s="155">
        <f>Product[[#This Row],[Unit_Cost]]*Product[[#This Row],[CountUnit]]</f>
        <v>266200</v>
      </c>
      <c r="H11" s="76">
        <f>SUMIF(Sales[Product_Name],Product[[#This Row],[Product_Name]],Sales[Net_Sales])</f>
        <v>380868</v>
      </c>
      <c r="I11" s="76">
        <f>SUMIF(Sales[Product_Name],Product[[#This Row],[Product_Name]],Sales[Profit])</f>
        <v>114668</v>
      </c>
      <c r="J11" s="150">
        <f>Product[[#This Row],[Net_Profit]]/Product[[#This Row],[Net_Cost]]</f>
        <v>0.43075882794891057</v>
      </c>
    </row>
    <row r="12" spans="1:10" x14ac:dyDescent="0.25">
      <c r="A12" s="17" t="s">
        <v>43</v>
      </c>
      <c r="B12" s="4" t="s">
        <v>468</v>
      </c>
      <c r="C12" s="4" t="s">
        <v>460</v>
      </c>
      <c r="D12" s="56">
        <f>SUMIF(Sales[Product_Name],Product[[#This Row],[Product_Name]],Sales[Quantity])</f>
        <v>48</v>
      </c>
      <c r="E12" s="31">
        <v>1200</v>
      </c>
      <c r="F12" s="56">
        <v>1900</v>
      </c>
      <c r="G12" s="155">
        <f>Product[[#This Row],[Unit_Cost]]*Product[[#This Row],[CountUnit]]</f>
        <v>57600</v>
      </c>
      <c r="H12" s="76">
        <f>SUMIF(Sales[Product_Name],Product[[#This Row],[Product_Name]],Sales[Net_Sales])</f>
        <v>87248</v>
      </c>
      <c r="I12" s="76">
        <f>SUMIF(Sales[Product_Name],Product[[#This Row],[Product_Name]],Sales[Profit])</f>
        <v>29648</v>
      </c>
      <c r="J12" s="150">
        <f>Product[[#This Row],[Net_Profit]]/Product[[#This Row],[Net_Cost]]</f>
        <v>0.51472222222222219</v>
      </c>
    </row>
    <row r="13" spans="1:10" x14ac:dyDescent="0.25">
      <c r="A13" s="17" t="s">
        <v>145</v>
      </c>
      <c r="B13" s="4" t="s">
        <v>469</v>
      </c>
      <c r="C13" s="4" t="s">
        <v>460</v>
      </c>
      <c r="D13" s="56">
        <f>SUMIF(Sales[Product_Name],Product[[#This Row],[Product_Name]],Sales[Quantity])</f>
        <v>91</v>
      </c>
      <c r="E13" s="31">
        <v>1600</v>
      </c>
      <c r="F13" s="56">
        <v>2500</v>
      </c>
      <c r="G13" s="155">
        <f>Product[[#This Row],[Unit_Cost]]*Product[[#This Row],[CountUnit]]</f>
        <v>145600</v>
      </c>
      <c r="H13" s="76">
        <f>SUMIF(Sales[Product_Name],Product[[#This Row],[Product_Name]],Sales[Net_Sales])</f>
        <v>213525</v>
      </c>
      <c r="I13" s="76">
        <f>SUMIF(Sales[Product_Name],Product[[#This Row],[Product_Name]],Sales[Profit])</f>
        <v>67925</v>
      </c>
      <c r="J13" s="150">
        <f>Product[[#This Row],[Net_Profit]]/Product[[#This Row],[Net_Cost]]</f>
        <v>0.46651785714285715</v>
      </c>
    </row>
    <row r="14" spans="1:10" x14ac:dyDescent="0.25">
      <c r="A14" s="17" t="s">
        <v>81</v>
      </c>
      <c r="B14" s="4" t="s">
        <v>470</v>
      </c>
      <c r="C14" s="4" t="s">
        <v>456</v>
      </c>
      <c r="D14" s="56">
        <f>SUMIF(Sales[Product_Name],Product[[#This Row],[Product_Name]],Sales[Quantity])</f>
        <v>95</v>
      </c>
      <c r="E14" s="31">
        <v>6500</v>
      </c>
      <c r="F14" s="56">
        <v>9000</v>
      </c>
      <c r="G14" s="155">
        <f>Product[[#This Row],[Unit_Cost]]*Product[[#This Row],[CountUnit]]</f>
        <v>617500</v>
      </c>
      <c r="H14" s="76">
        <f>SUMIF(Sales[Product_Name],Product[[#This Row],[Product_Name]],Sales[Net_Sales])</f>
        <v>797580</v>
      </c>
      <c r="I14" s="76">
        <f>SUMIF(Sales[Product_Name],Product[[#This Row],[Product_Name]],Sales[Profit])</f>
        <v>180080</v>
      </c>
      <c r="J14" s="150">
        <f>Product[[#This Row],[Net_Profit]]/Product[[#This Row],[Net_Cost]]</f>
        <v>0.29162753036437244</v>
      </c>
    </row>
    <row r="15" spans="1:10" x14ac:dyDescent="0.25">
      <c r="A15" s="17" t="s">
        <v>162</v>
      </c>
      <c r="B15" s="4" t="s">
        <v>471</v>
      </c>
      <c r="C15" s="4" t="s">
        <v>463</v>
      </c>
      <c r="D15" s="56">
        <f>SUMIF(Sales[Product_Name],Product[[#This Row],[Product_Name]],Sales[Quantity])</f>
        <v>121</v>
      </c>
      <c r="E15" s="31">
        <v>11500</v>
      </c>
      <c r="F15" s="56">
        <v>16000</v>
      </c>
      <c r="G15" s="155">
        <f>Product[[#This Row],[Unit_Cost]]*Product[[#This Row],[CountUnit]]</f>
        <v>1391500</v>
      </c>
      <c r="H15" s="76">
        <f>SUMIF(Sales[Product_Name],Product[[#This Row],[Product_Name]],Sales[Net_Sales])</f>
        <v>1832640</v>
      </c>
      <c r="I15" s="76">
        <f>SUMIF(Sales[Product_Name],Product[[#This Row],[Product_Name]],Sales[Profit])</f>
        <v>441140</v>
      </c>
      <c r="J15" s="150">
        <f>Product[[#This Row],[Net_Profit]]/Product[[#This Row],[Net_Cost]]</f>
        <v>0.31702479338842976</v>
      </c>
    </row>
    <row r="16" spans="1:10" x14ac:dyDescent="0.25">
      <c r="A16" s="17" t="s">
        <v>49</v>
      </c>
      <c r="B16" s="4" t="s">
        <v>472</v>
      </c>
      <c r="C16" s="4" t="s">
        <v>456</v>
      </c>
      <c r="D16" s="56">
        <f>SUMIF(Sales[Product_Name],Product[[#This Row],[Product_Name]],Sales[Quantity])</f>
        <v>114</v>
      </c>
      <c r="E16" s="31">
        <v>3200</v>
      </c>
      <c r="F16" s="56">
        <v>4800</v>
      </c>
      <c r="G16" s="155">
        <f>Product[[#This Row],[Unit_Cost]]*Product[[#This Row],[CountUnit]]</f>
        <v>364800</v>
      </c>
      <c r="H16" s="76">
        <f>SUMIF(Sales[Product_Name],Product[[#This Row],[Product_Name]],Sales[Net_Sales])</f>
        <v>524352</v>
      </c>
      <c r="I16" s="76">
        <f>SUMIF(Sales[Product_Name],Product[[#This Row],[Product_Name]],Sales[Profit])</f>
        <v>159552</v>
      </c>
      <c r="J16" s="150">
        <f>Product[[#This Row],[Net_Profit]]/Product[[#This Row],[Net_Cost]]</f>
        <v>0.43736842105263157</v>
      </c>
    </row>
    <row r="17" spans="1:10" x14ac:dyDescent="0.25">
      <c r="A17" s="17" t="s">
        <v>53</v>
      </c>
      <c r="B17" s="4" t="s">
        <v>473</v>
      </c>
      <c r="C17" s="4" t="s">
        <v>456</v>
      </c>
      <c r="D17" s="56">
        <f>SUMIF(Sales[Product_Name],Product[[#This Row],[Product_Name]],Sales[Quantity])</f>
        <v>79</v>
      </c>
      <c r="E17" s="31">
        <v>2800</v>
      </c>
      <c r="F17" s="56">
        <v>4200</v>
      </c>
      <c r="G17" s="155">
        <f>Product[[#This Row],[Unit_Cost]]*Product[[#This Row],[CountUnit]]</f>
        <v>221200</v>
      </c>
      <c r="H17" s="76">
        <f>SUMIF(Sales[Product_Name],Product[[#This Row],[Product_Name]],Sales[Net_Sales])</f>
        <v>316638</v>
      </c>
      <c r="I17" s="76">
        <f>SUMIF(Sales[Product_Name],Product[[#This Row],[Product_Name]],Sales[Profit])</f>
        <v>95438</v>
      </c>
      <c r="J17" s="150">
        <f>Product[[#This Row],[Net_Profit]]/Product[[#This Row],[Net_Cost]]</f>
        <v>0.43145569620253166</v>
      </c>
    </row>
    <row r="18" spans="1:10" x14ac:dyDescent="0.25">
      <c r="A18" s="17" t="s">
        <v>85</v>
      </c>
      <c r="B18" s="4" t="s">
        <v>474</v>
      </c>
      <c r="C18" s="4" t="s">
        <v>463</v>
      </c>
      <c r="D18" s="56">
        <f>SUMIF(Sales[Product_Name],Product[[#This Row],[Product_Name]],Sales[Quantity])</f>
        <v>82</v>
      </c>
      <c r="E18" s="31">
        <v>4200</v>
      </c>
      <c r="F18" s="56">
        <v>6500</v>
      </c>
      <c r="G18" s="155">
        <f>Product[[#This Row],[Unit_Cost]]*Product[[#This Row],[CountUnit]]</f>
        <v>344400</v>
      </c>
      <c r="H18" s="76">
        <f>SUMIF(Sales[Product_Name],Product[[#This Row],[Product_Name]],Sales[Net_Sales])</f>
        <v>487630</v>
      </c>
      <c r="I18" s="76">
        <f>SUMIF(Sales[Product_Name],Product[[#This Row],[Product_Name]],Sales[Profit])</f>
        <v>143230</v>
      </c>
      <c r="J18" s="150">
        <f>Product[[#This Row],[Net_Profit]]/Product[[#This Row],[Net_Cost]]</f>
        <v>0.41588269454123111</v>
      </c>
    </row>
    <row r="19" spans="1:10" x14ac:dyDescent="0.25">
      <c r="A19" s="17" t="s">
        <v>33</v>
      </c>
      <c r="B19" s="4" t="s">
        <v>475</v>
      </c>
      <c r="C19" s="4" t="s">
        <v>460</v>
      </c>
      <c r="D19" s="56">
        <f>SUMIF(Sales[Product_Name],Product[[#This Row],[Product_Name]],Sales[Quantity])</f>
        <v>64</v>
      </c>
      <c r="E19" s="31">
        <v>2400</v>
      </c>
      <c r="F19" s="56">
        <v>3600</v>
      </c>
      <c r="G19" s="155">
        <f>Product[[#This Row],[Unit_Cost]]*Product[[#This Row],[CountUnit]]</f>
        <v>153600</v>
      </c>
      <c r="H19" s="76">
        <f>SUMIF(Sales[Product_Name],Product[[#This Row],[Product_Name]],Sales[Net_Sales])</f>
        <v>213984</v>
      </c>
      <c r="I19" s="76">
        <f>SUMIF(Sales[Product_Name],Product[[#This Row],[Product_Name]],Sales[Profit])</f>
        <v>60384</v>
      </c>
      <c r="J19" s="150">
        <f>Product[[#This Row],[Net_Profit]]/Product[[#This Row],[Net_Cost]]</f>
        <v>0.393125</v>
      </c>
    </row>
    <row r="20" spans="1:10" x14ac:dyDescent="0.25">
      <c r="A20" s="17" t="s">
        <v>121</v>
      </c>
      <c r="B20" s="4" t="s">
        <v>476</v>
      </c>
      <c r="C20" s="4" t="s">
        <v>456</v>
      </c>
      <c r="D20" s="56">
        <f>SUMIF(Sales[Product_Name],Product[[#This Row],[Product_Name]],Sales[Quantity])</f>
        <v>106</v>
      </c>
      <c r="E20" s="31">
        <v>2400</v>
      </c>
      <c r="F20" s="56">
        <v>3600</v>
      </c>
      <c r="G20" s="155">
        <f>Product[[#This Row],[Unit_Cost]]*Product[[#This Row],[CountUnit]]</f>
        <v>254400</v>
      </c>
      <c r="H20" s="76">
        <f>SUMIF(Sales[Product_Name],Product[[#This Row],[Product_Name]],Sales[Net_Sales])</f>
        <v>374832</v>
      </c>
      <c r="I20" s="76">
        <f>SUMIF(Sales[Product_Name],Product[[#This Row],[Product_Name]],Sales[Profit])</f>
        <v>120432</v>
      </c>
      <c r="J20" s="150">
        <f>Product[[#This Row],[Net_Profit]]/Product[[#This Row],[Net_Cost]]</f>
        <v>0.47339622641509432</v>
      </c>
    </row>
    <row r="21" spans="1:10" x14ac:dyDescent="0.25">
      <c r="A21" s="22" t="s">
        <v>57</v>
      </c>
      <c r="B21" s="24" t="s">
        <v>477</v>
      </c>
      <c r="C21" s="24" t="s">
        <v>478</v>
      </c>
      <c r="D21" s="57">
        <f>SUMIF(Sales[Product_Name],Product[[#This Row],[Product_Name]],Sales[Quantity])</f>
        <v>70</v>
      </c>
      <c r="E21" s="32">
        <v>3500</v>
      </c>
      <c r="F21" s="57">
        <v>5200</v>
      </c>
      <c r="G21" s="155">
        <f>Product[[#This Row],[Unit_Cost]]*Product[[#This Row],[CountUnit]]</f>
        <v>245000</v>
      </c>
      <c r="H21" s="76">
        <f>SUMIF(Sales[Product_Name],Product[[#This Row],[Product_Name]],Sales[Net_Sales])</f>
        <v>344240</v>
      </c>
      <c r="I21" s="76">
        <f>SUMIF(Sales[Product_Name],Product[[#This Row],[Product_Name]],Sales[Profit])</f>
        <v>99240</v>
      </c>
      <c r="J21" s="150">
        <f>Product[[#This Row],[Net_Profit]]/Product[[#This Row],[Net_Cost]]</f>
        <v>0.40506122448979592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43"/>
  <sheetViews>
    <sheetView workbookViewId="0">
      <pane ySplit="1" topLeftCell="A32" activePane="bottomLeft" state="frozen"/>
      <selection activeCell="I10" sqref="I10"/>
      <selection pane="bottomLeft" activeCell="C9" sqref="C9"/>
    </sheetView>
  </sheetViews>
  <sheetFormatPr defaultRowHeight="15" x14ac:dyDescent="0.25"/>
  <cols>
    <col min="1" max="1" width="12" customWidth="1"/>
    <col min="2" max="2" width="12.28515625" customWidth="1"/>
    <col min="3" max="3" width="14.5703125" customWidth="1"/>
    <col min="4" max="4" width="14.140625" customWidth="1"/>
    <col min="5" max="5" width="17" bestFit="1" customWidth="1"/>
    <col min="6" max="6" width="12.42578125" bestFit="1" customWidth="1"/>
  </cols>
  <sheetData>
    <row r="1" spans="1:6" ht="24" customHeight="1" x14ac:dyDescent="0.25">
      <c r="A1" s="62" t="s">
        <v>800</v>
      </c>
      <c r="B1" s="62" t="s">
        <v>801</v>
      </c>
      <c r="C1" s="62" t="s">
        <v>609</v>
      </c>
      <c r="D1" s="63" t="s">
        <v>480</v>
      </c>
      <c r="E1" s="63" t="s">
        <v>610</v>
      </c>
      <c r="F1" s="64" t="s">
        <v>611</v>
      </c>
    </row>
    <row r="2" spans="1:6" x14ac:dyDescent="0.25">
      <c r="A2" s="17" t="s">
        <v>612</v>
      </c>
      <c r="B2" s="17" t="str">
        <f>RIGHT(Overhead_Costs[[#This Row],[Year]],2)</f>
        <v>01</v>
      </c>
      <c r="C2" s="17" t="s">
        <v>803</v>
      </c>
      <c r="D2" s="4" t="s">
        <v>485</v>
      </c>
      <c r="E2" s="7">
        <v>167933.1</v>
      </c>
      <c r="F2" s="65" t="s">
        <v>463</v>
      </c>
    </row>
    <row r="3" spans="1:6" x14ac:dyDescent="0.25">
      <c r="A3" s="17" t="s">
        <v>612</v>
      </c>
      <c r="B3" s="17" t="str">
        <f>RIGHT(Overhead_Costs[[#This Row],[Year]],2)</f>
        <v>01</v>
      </c>
      <c r="C3" s="17" t="s">
        <v>803</v>
      </c>
      <c r="D3" s="4" t="s">
        <v>520</v>
      </c>
      <c r="E3" s="7">
        <v>91811.47</v>
      </c>
      <c r="F3" s="65" t="s">
        <v>613</v>
      </c>
    </row>
    <row r="4" spans="1:6" x14ac:dyDescent="0.25">
      <c r="A4" s="17" t="s">
        <v>612</v>
      </c>
      <c r="B4" s="17" t="str">
        <f>RIGHT(Overhead_Costs[[#This Row],[Year]],2)</f>
        <v>01</v>
      </c>
      <c r="C4" s="17" t="s">
        <v>803</v>
      </c>
      <c r="D4" s="4" t="s">
        <v>535</v>
      </c>
      <c r="E4" s="7">
        <v>201803.8</v>
      </c>
      <c r="F4" s="65" t="s">
        <v>463</v>
      </c>
    </row>
    <row r="5" spans="1:6" x14ac:dyDescent="0.25">
      <c r="A5" s="17" t="s">
        <v>612</v>
      </c>
      <c r="B5" s="17" t="str">
        <f>RIGHT(Overhead_Costs[[#This Row],[Year]],2)</f>
        <v>01</v>
      </c>
      <c r="C5" s="17" t="s">
        <v>803</v>
      </c>
      <c r="D5" s="4" t="s">
        <v>547</v>
      </c>
      <c r="E5" s="7">
        <v>75217.679999999993</v>
      </c>
      <c r="F5" s="65" t="s">
        <v>614</v>
      </c>
    </row>
    <row r="6" spans="1:6" x14ac:dyDescent="0.25">
      <c r="A6" s="17" t="s">
        <v>612</v>
      </c>
      <c r="B6" s="17" t="str">
        <f>RIGHT(Overhead_Costs[[#This Row],[Year]],2)</f>
        <v>01</v>
      </c>
      <c r="C6" s="17" t="s">
        <v>803</v>
      </c>
      <c r="D6" s="4" t="s">
        <v>478</v>
      </c>
      <c r="E6" s="7">
        <v>165857.4</v>
      </c>
      <c r="F6" s="65" t="s">
        <v>463</v>
      </c>
    </row>
    <row r="7" spans="1:6" x14ac:dyDescent="0.25">
      <c r="A7" s="17" t="s">
        <v>612</v>
      </c>
      <c r="B7" s="17" t="str">
        <f>RIGHT(Overhead_Costs[[#This Row],[Year]],2)</f>
        <v>01</v>
      </c>
      <c r="C7" s="17" t="s">
        <v>803</v>
      </c>
      <c r="D7" s="4" t="s">
        <v>579</v>
      </c>
      <c r="E7" s="7">
        <v>115749.33</v>
      </c>
      <c r="F7" s="65" t="s">
        <v>613</v>
      </c>
    </row>
    <row r="8" spans="1:6" x14ac:dyDescent="0.25">
      <c r="A8" s="17" t="s">
        <v>612</v>
      </c>
      <c r="B8" s="17" t="str">
        <f>RIGHT(Overhead_Costs[[#This Row],[Year]],2)</f>
        <v>01</v>
      </c>
      <c r="C8" s="17" t="s">
        <v>803</v>
      </c>
      <c r="D8" s="4" t="s">
        <v>590</v>
      </c>
      <c r="E8" s="7">
        <v>99947.07</v>
      </c>
      <c r="F8" s="65" t="s">
        <v>615</v>
      </c>
    </row>
    <row r="9" spans="1:6" x14ac:dyDescent="0.25">
      <c r="A9" s="17" t="s">
        <v>616</v>
      </c>
      <c r="B9" s="17" t="str">
        <f>RIGHT(Overhead_Costs[[#This Row],[Year]],2)</f>
        <v>02</v>
      </c>
      <c r="C9" s="17" t="s">
        <v>804</v>
      </c>
      <c r="D9" s="4" t="s">
        <v>485</v>
      </c>
      <c r="E9" s="7">
        <v>197146.49</v>
      </c>
      <c r="F9" s="65" t="s">
        <v>463</v>
      </c>
    </row>
    <row r="10" spans="1:6" x14ac:dyDescent="0.25">
      <c r="A10" s="17" t="s">
        <v>616</v>
      </c>
      <c r="B10" s="17" t="str">
        <f>RIGHT(Overhead_Costs[[#This Row],[Year]],2)</f>
        <v>02</v>
      </c>
      <c r="C10" s="17" t="s">
        <v>804</v>
      </c>
      <c r="D10" s="4" t="s">
        <v>520</v>
      </c>
      <c r="E10" s="7">
        <v>102682.81</v>
      </c>
      <c r="F10" s="65" t="s">
        <v>617</v>
      </c>
    </row>
    <row r="11" spans="1:6" x14ac:dyDescent="0.25">
      <c r="A11" s="17" t="s">
        <v>616</v>
      </c>
      <c r="B11" s="17" t="str">
        <f>RIGHT(Overhead_Costs[[#This Row],[Year]],2)</f>
        <v>02</v>
      </c>
      <c r="C11" s="17" t="s">
        <v>804</v>
      </c>
      <c r="D11" s="4" t="s">
        <v>535</v>
      </c>
      <c r="E11" s="7">
        <v>207815.77</v>
      </c>
      <c r="F11" s="65" t="s">
        <v>615</v>
      </c>
    </row>
    <row r="12" spans="1:6" x14ac:dyDescent="0.25">
      <c r="A12" s="17" t="s">
        <v>616</v>
      </c>
      <c r="B12" s="17" t="str">
        <f>RIGHT(Overhead_Costs[[#This Row],[Year]],2)</f>
        <v>02</v>
      </c>
      <c r="C12" s="17" t="s">
        <v>804</v>
      </c>
      <c r="D12" s="4" t="s">
        <v>547</v>
      </c>
      <c r="E12" s="7">
        <v>75250.09</v>
      </c>
      <c r="F12" s="65" t="s">
        <v>614</v>
      </c>
    </row>
    <row r="13" spans="1:6" x14ac:dyDescent="0.25">
      <c r="A13" s="17" t="s">
        <v>616</v>
      </c>
      <c r="B13" s="17" t="str">
        <f>RIGHT(Overhead_Costs[[#This Row],[Year]],2)</f>
        <v>02</v>
      </c>
      <c r="C13" s="17" t="s">
        <v>804</v>
      </c>
      <c r="D13" s="4" t="s">
        <v>478</v>
      </c>
      <c r="E13" s="7">
        <v>188305.06</v>
      </c>
      <c r="F13" s="65" t="s">
        <v>614</v>
      </c>
    </row>
    <row r="14" spans="1:6" x14ac:dyDescent="0.25">
      <c r="A14" s="17" t="s">
        <v>616</v>
      </c>
      <c r="B14" s="17" t="str">
        <f>RIGHT(Overhead_Costs[[#This Row],[Year]],2)</f>
        <v>02</v>
      </c>
      <c r="C14" s="17" t="s">
        <v>804</v>
      </c>
      <c r="D14" s="4" t="s">
        <v>579</v>
      </c>
      <c r="E14" s="7">
        <v>141803.21</v>
      </c>
      <c r="F14" s="65" t="s">
        <v>613</v>
      </c>
    </row>
    <row r="15" spans="1:6" x14ac:dyDescent="0.25">
      <c r="A15" s="17" t="s">
        <v>616</v>
      </c>
      <c r="B15" s="17" t="str">
        <f>RIGHT(Overhead_Costs[[#This Row],[Year]],2)</f>
        <v>02</v>
      </c>
      <c r="C15" s="17" t="s">
        <v>804</v>
      </c>
      <c r="D15" s="4" t="s">
        <v>590</v>
      </c>
      <c r="E15" s="7">
        <v>95061.72</v>
      </c>
      <c r="F15" s="65" t="s">
        <v>615</v>
      </c>
    </row>
    <row r="16" spans="1:6" x14ac:dyDescent="0.25">
      <c r="A16" s="17" t="s">
        <v>618</v>
      </c>
      <c r="B16" s="17" t="str">
        <f>RIGHT(Overhead_Costs[[#This Row],[Year]],2)</f>
        <v>03</v>
      </c>
      <c r="C16" s="17" t="s">
        <v>805</v>
      </c>
      <c r="D16" s="4" t="s">
        <v>485</v>
      </c>
      <c r="E16" s="7">
        <v>171086.64</v>
      </c>
      <c r="F16" s="65" t="s">
        <v>463</v>
      </c>
    </row>
    <row r="17" spans="1:6" x14ac:dyDescent="0.25">
      <c r="A17" s="17" t="s">
        <v>618</v>
      </c>
      <c r="B17" s="17" t="str">
        <f>RIGHT(Overhead_Costs[[#This Row],[Year]],2)</f>
        <v>03</v>
      </c>
      <c r="C17" s="17" t="s">
        <v>805</v>
      </c>
      <c r="D17" s="4" t="s">
        <v>520</v>
      </c>
      <c r="E17" s="7">
        <v>96887.16</v>
      </c>
      <c r="F17" s="65" t="s">
        <v>463</v>
      </c>
    </row>
    <row r="18" spans="1:6" x14ac:dyDescent="0.25">
      <c r="A18" s="17" t="s">
        <v>618</v>
      </c>
      <c r="B18" s="17" t="str">
        <f>RIGHT(Overhead_Costs[[#This Row],[Year]],2)</f>
        <v>03</v>
      </c>
      <c r="C18" s="17" t="s">
        <v>805</v>
      </c>
      <c r="D18" s="4" t="s">
        <v>535</v>
      </c>
      <c r="E18" s="7">
        <v>193014.58</v>
      </c>
      <c r="F18" s="65" t="s">
        <v>614</v>
      </c>
    </row>
    <row r="19" spans="1:6" x14ac:dyDescent="0.25">
      <c r="A19" s="17" t="s">
        <v>618</v>
      </c>
      <c r="B19" s="17" t="str">
        <f>RIGHT(Overhead_Costs[[#This Row],[Year]],2)</f>
        <v>03</v>
      </c>
      <c r="C19" s="17" t="s">
        <v>805</v>
      </c>
      <c r="D19" s="4" t="s">
        <v>547</v>
      </c>
      <c r="E19" s="7">
        <v>81526.36</v>
      </c>
      <c r="F19" s="65" t="s">
        <v>615</v>
      </c>
    </row>
    <row r="20" spans="1:6" x14ac:dyDescent="0.25">
      <c r="A20" s="17" t="s">
        <v>618</v>
      </c>
      <c r="B20" s="17" t="str">
        <f>RIGHT(Overhead_Costs[[#This Row],[Year]],2)</f>
        <v>03</v>
      </c>
      <c r="C20" s="17" t="s">
        <v>805</v>
      </c>
      <c r="D20" s="4" t="s">
        <v>478</v>
      </c>
      <c r="E20" s="7">
        <v>164279.04000000001</v>
      </c>
      <c r="F20" s="65" t="s">
        <v>615</v>
      </c>
    </row>
    <row r="21" spans="1:6" x14ac:dyDescent="0.25">
      <c r="A21" s="17" t="s">
        <v>618</v>
      </c>
      <c r="B21" s="17" t="str">
        <f>RIGHT(Overhead_Costs[[#This Row],[Year]],2)</f>
        <v>03</v>
      </c>
      <c r="C21" s="17" t="s">
        <v>805</v>
      </c>
      <c r="D21" s="4" t="s">
        <v>579</v>
      </c>
      <c r="E21" s="7">
        <v>135384.29999999999</v>
      </c>
      <c r="F21" s="65" t="s">
        <v>614</v>
      </c>
    </row>
    <row r="22" spans="1:6" x14ac:dyDescent="0.25">
      <c r="A22" s="17" t="s">
        <v>618</v>
      </c>
      <c r="B22" s="17" t="str">
        <f>RIGHT(Overhead_Costs[[#This Row],[Year]],2)</f>
        <v>03</v>
      </c>
      <c r="C22" s="17" t="s">
        <v>805</v>
      </c>
      <c r="D22" s="4" t="s">
        <v>590</v>
      </c>
      <c r="E22" s="7">
        <v>97946.13</v>
      </c>
      <c r="F22" s="65" t="s">
        <v>463</v>
      </c>
    </row>
    <row r="23" spans="1:6" x14ac:dyDescent="0.25">
      <c r="A23" s="17" t="s">
        <v>619</v>
      </c>
      <c r="B23" s="17" t="str">
        <f>RIGHT(Overhead_Costs[[#This Row],[Year]],2)</f>
        <v>04</v>
      </c>
      <c r="C23" s="17" t="s">
        <v>806</v>
      </c>
      <c r="D23" s="4" t="s">
        <v>485</v>
      </c>
      <c r="E23" s="7">
        <v>170930.52</v>
      </c>
      <c r="F23" s="65" t="s">
        <v>614</v>
      </c>
    </row>
    <row r="24" spans="1:6" x14ac:dyDescent="0.25">
      <c r="A24" s="17" t="s">
        <v>619</v>
      </c>
      <c r="B24" s="17" t="str">
        <f>RIGHT(Overhead_Costs[[#This Row],[Year]],2)</f>
        <v>04</v>
      </c>
      <c r="C24" s="17" t="s">
        <v>806</v>
      </c>
      <c r="D24" s="4" t="s">
        <v>520</v>
      </c>
      <c r="E24" s="7">
        <v>100526.35</v>
      </c>
      <c r="F24" s="65" t="s">
        <v>615</v>
      </c>
    </row>
    <row r="25" spans="1:6" x14ac:dyDescent="0.25">
      <c r="A25" s="17" t="s">
        <v>619</v>
      </c>
      <c r="B25" s="17" t="str">
        <f>RIGHT(Overhead_Costs[[#This Row],[Year]],2)</f>
        <v>04</v>
      </c>
      <c r="C25" s="17" t="s">
        <v>806</v>
      </c>
      <c r="D25" s="4" t="s">
        <v>535</v>
      </c>
      <c r="E25" s="7">
        <v>205854.81</v>
      </c>
      <c r="F25" s="65" t="s">
        <v>463</v>
      </c>
    </row>
    <row r="26" spans="1:6" x14ac:dyDescent="0.25">
      <c r="A26" s="17" t="s">
        <v>619</v>
      </c>
      <c r="B26" s="17" t="str">
        <f>RIGHT(Overhead_Costs[[#This Row],[Year]],2)</f>
        <v>04</v>
      </c>
      <c r="C26" s="17" t="s">
        <v>806</v>
      </c>
      <c r="D26" s="4" t="s">
        <v>547</v>
      </c>
      <c r="E26" s="7">
        <v>72534.39</v>
      </c>
      <c r="F26" s="65" t="s">
        <v>617</v>
      </c>
    </row>
    <row r="27" spans="1:6" x14ac:dyDescent="0.25">
      <c r="A27" s="17" t="s">
        <v>619</v>
      </c>
      <c r="B27" s="17" t="str">
        <f>RIGHT(Overhead_Costs[[#This Row],[Year]],2)</f>
        <v>04</v>
      </c>
      <c r="C27" s="17" t="s">
        <v>806</v>
      </c>
      <c r="D27" s="4" t="s">
        <v>478</v>
      </c>
      <c r="E27" s="7">
        <v>158974.25</v>
      </c>
      <c r="F27" s="65" t="s">
        <v>614</v>
      </c>
    </row>
    <row r="28" spans="1:6" x14ac:dyDescent="0.25">
      <c r="A28" s="17" t="s">
        <v>619</v>
      </c>
      <c r="B28" s="17" t="str">
        <f>RIGHT(Overhead_Costs[[#This Row],[Year]],2)</f>
        <v>04</v>
      </c>
      <c r="C28" s="17" t="s">
        <v>806</v>
      </c>
      <c r="D28" s="4" t="s">
        <v>579</v>
      </c>
      <c r="E28" s="7">
        <v>132007.43</v>
      </c>
      <c r="F28" s="65" t="s">
        <v>615</v>
      </c>
    </row>
    <row r="29" spans="1:6" x14ac:dyDescent="0.25">
      <c r="A29" s="17" t="s">
        <v>619</v>
      </c>
      <c r="B29" s="17" t="str">
        <f>RIGHT(Overhead_Costs[[#This Row],[Year]],2)</f>
        <v>04</v>
      </c>
      <c r="C29" s="17" t="s">
        <v>806</v>
      </c>
      <c r="D29" s="4" t="s">
        <v>590</v>
      </c>
      <c r="E29" s="7">
        <v>91753.4</v>
      </c>
      <c r="F29" s="65" t="s">
        <v>615</v>
      </c>
    </row>
    <row r="30" spans="1:6" x14ac:dyDescent="0.25">
      <c r="A30" s="17" t="s">
        <v>620</v>
      </c>
      <c r="B30" s="17" t="str">
        <f>RIGHT(Overhead_Costs[[#This Row],[Year]],2)</f>
        <v>05</v>
      </c>
      <c r="C30" s="17" t="s">
        <v>798</v>
      </c>
      <c r="D30" s="4" t="s">
        <v>485</v>
      </c>
      <c r="E30" s="7">
        <v>171865.85</v>
      </c>
      <c r="F30" s="65" t="s">
        <v>613</v>
      </c>
    </row>
    <row r="31" spans="1:6" x14ac:dyDescent="0.25">
      <c r="A31" s="17" t="s">
        <v>620</v>
      </c>
      <c r="B31" s="17" t="str">
        <f>RIGHT(Overhead_Costs[[#This Row],[Year]],2)</f>
        <v>05</v>
      </c>
      <c r="C31" s="17" t="s">
        <v>798</v>
      </c>
      <c r="D31" s="4" t="s">
        <v>520</v>
      </c>
      <c r="E31" s="7">
        <v>85550.17</v>
      </c>
      <c r="F31" s="65" t="s">
        <v>613</v>
      </c>
    </row>
    <row r="32" spans="1:6" x14ac:dyDescent="0.25">
      <c r="A32" s="17" t="s">
        <v>620</v>
      </c>
      <c r="B32" s="17" t="str">
        <f>RIGHT(Overhead_Costs[[#This Row],[Year]],2)</f>
        <v>05</v>
      </c>
      <c r="C32" s="17" t="s">
        <v>798</v>
      </c>
      <c r="D32" s="4" t="s">
        <v>535</v>
      </c>
      <c r="E32" s="7">
        <v>224200.71</v>
      </c>
      <c r="F32" s="65" t="s">
        <v>614</v>
      </c>
    </row>
    <row r="33" spans="1:6" x14ac:dyDescent="0.25">
      <c r="A33" s="17" t="s">
        <v>620</v>
      </c>
      <c r="B33" s="17" t="str">
        <f>RIGHT(Overhead_Costs[[#This Row],[Year]],2)</f>
        <v>05</v>
      </c>
      <c r="C33" s="17" t="s">
        <v>798</v>
      </c>
      <c r="D33" s="4" t="s">
        <v>547</v>
      </c>
      <c r="E33" s="7">
        <v>69684.22</v>
      </c>
      <c r="F33" s="65" t="s">
        <v>463</v>
      </c>
    </row>
    <row r="34" spans="1:6" x14ac:dyDescent="0.25">
      <c r="A34" s="17" t="s">
        <v>620</v>
      </c>
      <c r="B34" s="17" t="str">
        <f>RIGHT(Overhead_Costs[[#This Row],[Year]],2)</f>
        <v>05</v>
      </c>
      <c r="C34" s="17" t="s">
        <v>798</v>
      </c>
      <c r="D34" s="4" t="s">
        <v>478</v>
      </c>
      <c r="E34" s="7">
        <v>137526.17000000001</v>
      </c>
      <c r="F34" s="65" t="s">
        <v>617</v>
      </c>
    </row>
    <row r="35" spans="1:6" x14ac:dyDescent="0.25">
      <c r="A35" s="17" t="s">
        <v>620</v>
      </c>
      <c r="B35" s="17" t="str">
        <f>RIGHT(Overhead_Costs[[#This Row],[Year]],2)</f>
        <v>05</v>
      </c>
      <c r="C35" s="17" t="s">
        <v>798</v>
      </c>
      <c r="D35" s="4" t="s">
        <v>579</v>
      </c>
      <c r="E35" s="7">
        <v>109542.22</v>
      </c>
      <c r="F35" s="65" t="s">
        <v>617</v>
      </c>
    </row>
    <row r="36" spans="1:6" x14ac:dyDescent="0.25">
      <c r="A36" s="17" t="s">
        <v>620</v>
      </c>
      <c r="B36" s="17" t="str">
        <f>RIGHT(Overhead_Costs[[#This Row],[Year]],2)</f>
        <v>05</v>
      </c>
      <c r="C36" s="17" t="s">
        <v>798</v>
      </c>
      <c r="D36" s="4" t="s">
        <v>590</v>
      </c>
      <c r="E36" s="7">
        <v>88236.96</v>
      </c>
      <c r="F36" s="65" t="s">
        <v>463</v>
      </c>
    </row>
    <row r="37" spans="1:6" x14ac:dyDescent="0.25">
      <c r="A37" s="17" t="s">
        <v>621</v>
      </c>
      <c r="B37" s="17" t="str">
        <f>RIGHT(Overhead_Costs[[#This Row],[Year]],2)</f>
        <v>06</v>
      </c>
      <c r="C37" s="17" t="s">
        <v>807</v>
      </c>
      <c r="D37" s="4" t="s">
        <v>485</v>
      </c>
      <c r="E37" s="7">
        <v>199606.15</v>
      </c>
      <c r="F37" s="65" t="s">
        <v>613</v>
      </c>
    </row>
    <row r="38" spans="1:6" x14ac:dyDescent="0.25">
      <c r="A38" s="17" t="s">
        <v>621</v>
      </c>
      <c r="B38" s="17" t="str">
        <f>RIGHT(Overhead_Costs[[#This Row],[Year]],2)</f>
        <v>06</v>
      </c>
      <c r="C38" s="17" t="s">
        <v>807</v>
      </c>
      <c r="D38" s="4" t="s">
        <v>520</v>
      </c>
      <c r="E38" s="7">
        <v>90116.69</v>
      </c>
      <c r="F38" s="65" t="s">
        <v>615</v>
      </c>
    </row>
    <row r="39" spans="1:6" x14ac:dyDescent="0.25">
      <c r="A39" s="17" t="s">
        <v>621</v>
      </c>
      <c r="B39" s="17" t="str">
        <f>RIGHT(Overhead_Costs[[#This Row],[Year]],2)</f>
        <v>06</v>
      </c>
      <c r="C39" s="17" t="s">
        <v>807</v>
      </c>
      <c r="D39" s="4" t="s">
        <v>535</v>
      </c>
      <c r="E39" s="7">
        <v>218420.98</v>
      </c>
      <c r="F39" s="65" t="s">
        <v>613</v>
      </c>
    </row>
    <row r="40" spans="1:6" x14ac:dyDescent="0.25">
      <c r="A40" s="17" t="s">
        <v>621</v>
      </c>
      <c r="B40" s="17" t="str">
        <f>RIGHT(Overhead_Costs[[#This Row],[Year]],2)</f>
        <v>06</v>
      </c>
      <c r="C40" s="17" t="s">
        <v>807</v>
      </c>
      <c r="D40" s="4" t="s">
        <v>547</v>
      </c>
      <c r="E40" s="7">
        <v>78218.929999999993</v>
      </c>
      <c r="F40" s="65" t="s">
        <v>614</v>
      </c>
    </row>
    <row r="41" spans="1:6" x14ac:dyDescent="0.25">
      <c r="A41" s="17" t="s">
        <v>621</v>
      </c>
      <c r="B41" s="17" t="str">
        <f>RIGHT(Overhead_Costs[[#This Row],[Year]],2)</f>
        <v>06</v>
      </c>
      <c r="C41" s="17" t="s">
        <v>807</v>
      </c>
      <c r="D41" s="4" t="s">
        <v>478</v>
      </c>
      <c r="E41" s="7">
        <v>160719.15</v>
      </c>
      <c r="F41" s="65" t="s">
        <v>613</v>
      </c>
    </row>
    <row r="42" spans="1:6" x14ac:dyDescent="0.25">
      <c r="A42" s="17" t="s">
        <v>621</v>
      </c>
      <c r="B42" s="17" t="str">
        <f>RIGHT(Overhead_Costs[[#This Row],[Year]],2)</f>
        <v>06</v>
      </c>
      <c r="C42" s="17" t="s">
        <v>807</v>
      </c>
      <c r="D42" s="4" t="s">
        <v>579</v>
      </c>
      <c r="E42" s="7">
        <v>129222.27</v>
      </c>
      <c r="F42" s="65" t="s">
        <v>463</v>
      </c>
    </row>
    <row r="43" spans="1:6" x14ac:dyDescent="0.25">
      <c r="A43" s="22" t="s">
        <v>621</v>
      </c>
      <c r="B43" s="17" t="str">
        <f>RIGHT(Overhead_Costs[[#This Row],[Year]],2)</f>
        <v>06</v>
      </c>
      <c r="C43" s="17" t="s">
        <v>807</v>
      </c>
      <c r="D43" s="24" t="s">
        <v>590</v>
      </c>
      <c r="E43" s="25">
        <v>108356.21</v>
      </c>
      <c r="F43" s="66" t="s">
        <v>614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P96"/>
  <sheetViews>
    <sheetView workbookViewId="0">
      <pane ySplit="1" topLeftCell="A26" activePane="bottomLeft" state="frozen"/>
      <selection activeCell="I10" sqref="I10"/>
      <selection pane="bottomLeft" activeCell="N2" sqref="N2:N96"/>
    </sheetView>
  </sheetViews>
  <sheetFormatPr defaultRowHeight="15" x14ac:dyDescent="0.25"/>
  <cols>
    <col min="1" max="1" width="14.85546875" customWidth="1"/>
    <col min="2" max="2" width="21" customWidth="1"/>
    <col min="3" max="3" width="13.85546875" customWidth="1"/>
    <col min="4" max="4" width="17" customWidth="1"/>
    <col min="5" max="5" width="21.140625" customWidth="1"/>
    <col min="6" max="6" width="15.28515625" customWidth="1"/>
    <col min="7" max="7" width="15.42578125" customWidth="1"/>
    <col min="8" max="8" width="19.28515625" customWidth="1"/>
    <col min="9" max="9" width="18.28515625" customWidth="1"/>
    <col min="10" max="10" width="17.5703125" customWidth="1"/>
    <col min="11" max="11" width="15.42578125" customWidth="1"/>
    <col min="12" max="12" width="19.7109375" bestFit="1" customWidth="1"/>
    <col min="13" max="13" width="19.7109375" customWidth="1"/>
    <col min="14" max="14" width="15.85546875" bestFit="1" customWidth="1"/>
    <col min="15" max="15" width="11.28515625" bestFit="1" customWidth="1"/>
    <col min="16" max="16" width="17.42578125" bestFit="1" customWidth="1"/>
    <col min="17" max="17" width="13.7109375" customWidth="1"/>
  </cols>
  <sheetData>
    <row r="1" spans="1:16" ht="24" customHeight="1" x14ac:dyDescent="0.25">
      <c r="A1" s="60" t="s">
        <v>20</v>
      </c>
      <c r="B1" s="61" t="s">
        <v>479</v>
      </c>
      <c r="C1" s="61" t="s">
        <v>480</v>
      </c>
      <c r="D1" s="61" t="s">
        <v>482</v>
      </c>
      <c r="E1" s="61" t="s">
        <v>483</v>
      </c>
      <c r="F1" s="61" t="s">
        <v>603</v>
      </c>
      <c r="G1" s="61" t="s">
        <v>604</v>
      </c>
      <c r="H1" s="61" t="s">
        <v>605</v>
      </c>
      <c r="I1" s="61" t="s">
        <v>606</v>
      </c>
      <c r="J1" s="61" t="s">
        <v>607</v>
      </c>
      <c r="K1" s="52" t="s">
        <v>608</v>
      </c>
      <c r="L1" s="75" t="s">
        <v>663</v>
      </c>
      <c r="M1" s="75" t="s">
        <v>771</v>
      </c>
      <c r="N1" s="75" t="s">
        <v>772</v>
      </c>
      <c r="O1" s="61" t="s">
        <v>665</v>
      </c>
      <c r="P1" s="61" t="s">
        <v>770</v>
      </c>
    </row>
    <row r="2" spans="1:16" x14ac:dyDescent="0.25">
      <c r="A2" s="17" t="s">
        <v>80</v>
      </c>
      <c r="B2" s="4" t="s">
        <v>484</v>
      </c>
      <c r="C2" s="4" t="s">
        <v>485</v>
      </c>
      <c r="D2" s="31">
        <v>51000</v>
      </c>
      <c r="E2" s="31">
        <v>800000</v>
      </c>
      <c r="F2" s="108">
        <v>865500</v>
      </c>
      <c r="G2" s="7">
        <v>90.7</v>
      </c>
      <c r="H2" s="7">
        <v>95.3</v>
      </c>
      <c r="I2" s="7">
        <v>91.1</v>
      </c>
      <c r="J2" s="7">
        <v>81.599999999999994</v>
      </c>
      <c r="K2" s="58">
        <v>97.7</v>
      </c>
      <c r="L2" s="110">
        <f>Performance[[#This Row],[Actual_Result]]/Performance[[#This Row],[Performance_Target]]</f>
        <v>1.0818749999999999</v>
      </c>
      <c r="M2" s="110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2" s="110" t="str">
        <f>IF(Performance[[#This Row],[Overall_Score]]&gt;=90,"Passed","Not Passed")</f>
        <v>Passed</v>
      </c>
      <c r="O2" s="110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2" s="110">
        <f>Performance[[#This Row],[Bonus_%]]*Performance[[#This Row],[Monthly_Salary]]</f>
        <v>5100</v>
      </c>
    </row>
    <row r="3" spans="1:16" x14ac:dyDescent="0.25">
      <c r="A3" s="17" t="s">
        <v>225</v>
      </c>
      <c r="B3" s="4" t="s">
        <v>487</v>
      </c>
      <c r="C3" s="4" t="s">
        <v>485</v>
      </c>
      <c r="D3" s="31">
        <v>39000</v>
      </c>
      <c r="E3" s="31">
        <v>1130000</v>
      </c>
      <c r="F3" s="108">
        <v>904600</v>
      </c>
      <c r="G3" s="7">
        <v>81.400000000000006</v>
      </c>
      <c r="H3" s="7">
        <v>94.8</v>
      </c>
      <c r="I3" s="7">
        <v>68</v>
      </c>
      <c r="J3" s="7">
        <v>73.3</v>
      </c>
      <c r="K3" s="58">
        <v>79.599999999999994</v>
      </c>
      <c r="L3" s="7">
        <f>Performance[[#This Row],[Actual_Result]]/Performance[[#This Row],[Performance_Target]]</f>
        <v>0.8005309734513274</v>
      </c>
      <c r="M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3" s="110" t="str">
        <f>IF(Performance[[#This Row],[Overall_Score]]&gt;=90,"Passed","Not Passed")</f>
        <v>Not Passed</v>
      </c>
      <c r="O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3" s="7">
        <f>Performance[[#This Row],[Bonus_%]]*Performance[[#This Row],[Monthly_Salary]]</f>
        <v>0</v>
      </c>
    </row>
    <row r="4" spans="1:16" x14ac:dyDescent="0.25">
      <c r="A4" s="17" t="s">
        <v>489</v>
      </c>
      <c r="B4" s="4" t="s">
        <v>490</v>
      </c>
      <c r="C4" s="4" t="s">
        <v>485</v>
      </c>
      <c r="D4" s="31">
        <v>32000</v>
      </c>
      <c r="E4" s="31">
        <v>1040000</v>
      </c>
      <c r="F4" s="108">
        <v>1103000</v>
      </c>
      <c r="G4" s="7">
        <v>78.3</v>
      </c>
      <c r="H4" s="7">
        <v>93.3</v>
      </c>
      <c r="I4" s="7">
        <v>76.400000000000006</v>
      </c>
      <c r="J4" s="7">
        <v>96.2</v>
      </c>
      <c r="K4" s="58">
        <v>94.8</v>
      </c>
      <c r="L4" s="7">
        <f>Performance[[#This Row],[Actual_Result]]/Performance[[#This Row],[Performance_Target]]</f>
        <v>1.0605769230769231</v>
      </c>
      <c r="M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4" s="110" t="str">
        <f>IF(Performance[[#This Row],[Overall_Score]]&gt;=90,"Passed","Not Passed")</f>
        <v>Passed</v>
      </c>
      <c r="O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4" s="7">
        <f>Performance[[#This Row],[Bonus_%]]*Performance[[#This Row],[Monthly_Salary]]</f>
        <v>3200</v>
      </c>
    </row>
    <row r="5" spans="1:16" x14ac:dyDescent="0.25">
      <c r="A5" s="17" t="s">
        <v>51</v>
      </c>
      <c r="B5" s="4" t="s">
        <v>492</v>
      </c>
      <c r="C5" s="4" t="s">
        <v>485</v>
      </c>
      <c r="D5" s="31">
        <v>44500</v>
      </c>
      <c r="E5" s="31">
        <v>720000</v>
      </c>
      <c r="F5" s="108">
        <v>869100</v>
      </c>
      <c r="G5" s="7">
        <v>70.900000000000006</v>
      </c>
      <c r="H5" s="7">
        <v>91.9</v>
      </c>
      <c r="I5" s="7">
        <v>88.5</v>
      </c>
      <c r="J5" s="7">
        <v>88.8</v>
      </c>
      <c r="K5" s="58">
        <v>99.9</v>
      </c>
      <c r="L5" s="7">
        <f>Performance[[#This Row],[Actual_Result]]/Performance[[#This Row],[Performance_Target]]</f>
        <v>1.2070833333333333</v>
      </c>
      <c r="M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5" s="110" t="str">
        <f>IF(Performance[[#This Row],[Overall_Score]]&gt;=90,"Passed","Not Passed")</f>
        <v>Passed</v>
      </c>
      <c r="O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5" s="7">
        <f>Performance[[#This Row],[Bonus_%]]*Performance[[#This Row],[Monthly_Salary]]</f>
        <v>8900</v>
      </c>
    </row>
    <row r="6" spans="1:16" x14ac:dyDescent="0.25">
      <c r="A6" s="17" t="s">
        <v>147</v>
      </c>
      <c r="B6" s="4" t="s">
        <v>493</v>
      </c>
      <c r="C6" s="4" t="s">
        <v>485</v>
      </c>
      <c r="D6" s="31">
        <v>31500</v>
      </c>
      <c r="E6" s="31">
        <v>1060000</v>
      </c>
      <c r="F6" s="108">
        <v>1030900</v>
      </c>
      <c r="G6" s="7">
        <v>71.8</v>
      </c>
      <c r="H6" s="7">
        <v>91.3</v>
      </c>
      <c r="I6" s="7">
        <v>74.8</v>
      </c>
      <c r="J6" s="7">
        <v>86.2</v>
      </c>
      <c r="K6" s="58">
        <v>87.7</v>
      </c>
      <c r="L6" s="7">
        <f>Performance[[#This Row],[Actual_Result]]/Performance[[#This Row],[Performance_Target]]</f>
        <v>0.97254716981132072</v>
      </c>
      <c r="M6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6" s="110" t="str">
        <f>IF(Performance[[#This Row],[Overall_Score]]&gt;=90,"Passed","Not Passed")</f>
        <v>Not Passed</v>
      </c>
      <c r="O6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6" s="7">
        <f>Performance[[#This Row],[Bonus_%]]*Performance[[#This Row],[Monthly_Salary]]</f>
        <v>1575</v>
      </c>
    </row>
    <row r="7" spans="1:16" x14ac:dyDescent="0.25">
      <c r="A7" s="17" t="s">
        <v>359</v>
      </c>
      <c r="B7" s="4" t="s">
        <v>494</v>
      </c>
      <c r="C7" s="4" t="s">
        <v>485</v>
      </c>
      <c r="D7" s="31">
        <v>37500</v>
      </c>
      <c r="E7" s="31">
        <v>720000</v>
      </c>
      <c r="F7" s="108">
        <v>926400</v>
      </c>
      <c r="G7" s="7">
        <v>75.8</v>
      </c>
      <c r="H7" s="7">
        <v>89.9</v>
      </c>
      <c r="I7" s="7">
        <v>78.900000000000006</v>
      </c>
      <c r="J7" s="7">
        <v>92.3</v>
      </c>
      <c r="K7" s="58">
        <v>100</v>
      </c>
      <c r="L7" s="7">
        <f>Performance[[#This Row],[Actual_Result]]/Performance[[#This Row],[Performance_Target]]</f>
        <v>1.2866666666666666</v>
      </c>
      <c r="M7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7" s="110" t="str">
        <f>IF(Performance[[#This Row],[Overall_Score]]&gt;=90,"Passed","Not Passed")</f>
        <v>Passed</v>
      </c>
      <c r="O7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7" s="7">
        <f>Performance[[#This Row],[Bonus_%]]*Performance[[#This Row],[Monthly_Salary]]</f>
        <v>7500</v>
      </c>
    </row>
    <row r="8" spans="1:16" x14ac:dyDescent="0.25">
      <c r="A8" s="17" t="s">
        <v>326</v>
      </c>
      <c r="B8" s="4" t="s">
        <v>495</v>
      </c>
      <c r="C8" s="4" t="s">
        <v>485</v>
      </c>
      <c r="D8" s="31">
        <v>34000</v>
      </c>
      <c r="E8" s="31">
        <v>1200000</v>
      </c>
      <c r="F8" s="108">
        <v>863500</v>
      </c>
      <c r="G8" s="7">
        <v>95.1</v>
      </c>
      <c r="H8" s="7">
        <v>93.3</v>
      </c>
      <c r="I8" s="7">
        <v>72.7</v>
      </c>
      <c r="J8" s="7">
        <v>71.2</v>
      </c>
      <c r="K8" s="58">
        <v>78.7</v>
      </c>
      <c r="L8" s="7">
        <f>Performance[[#This Row],[Actual_Result]]/Performance[[#This Row],[Performance_Target]]</f>
        <v>0.71958333333333335</v>
      </c>
      <c r="M8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8" s="110" t="str">
        <f>IF(Performance[[#This Row],[Overall_Score]]&gt;=90,"Passed","Not Passed")</f>
        <v>Not Passed</v>
      </c>
      <c r="O8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8" s="7">
        <f>Performance[[#This Row],[Bonus_%]]*Performance[[#This Row],[Monthly_Salary]]</f>
        <v>0</v>
      </c>
    </row>
    <row r="9" spans="1:16" x14ac:dyDescent="0.25">
      <c r="A9" s="17" t="s">
        <v>218</v>
      </c>
      <c r="B9" s="4" t="s">
        <v>496</v>
      </c>
      <c r="C9" s="4" t="s">
        <v>485</v>
      </c>
      <c r="D9" s="31">
        <v>51000</v>
      </c>
      <c r="E9" s="31">
        <v>1130000</v>
      </c>
      <c r="F9" s="108">
        <v>1251100</v>
      </c>
      <c r="G9" s="7">
        <v>80.5</v>
      </c>
      <c r="H9" s="7">
        <v>94.7</v>
      </c>
      <c r="I9" s="7">
        <v>71</v>
      </c>
      <c r="J9" s="7">
        <v>81.400000000000006</v>
      </c>
      <c r="K9" s="58">
        <v>94.7</v>
      </c>
      <c r="L9" s="7">
        <f>Performance[[#This Row],[Actual_Result]]/Performance[[#This Row],[Performance_Target]]</f>
        <v>1.1071681415929204</v>
      </c>
      <c r="M9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9" s="110" t="str">
        <f>IF(Performance[[#This Row],[Overall_Score]]&gt;=90,"Passed","Not Passed")</f>
        <v>Passed</v>
      </c>
      <c r="O9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9" s="7">
        <f>Performance[[#This Row],[Bonus_%]]*Performance[[#This Row],[Monthly_Salary]]</f>
        <v>7650</v>
      </c>
    </row>
    <row r="10" spans="1:16" x14ac:dyDescent="0.25">
      <c r="A10" s="17" t="s">
        <v>76</v>
      </c>
      <c r="B10" s="4" t="s">
        <v>497</v>
      </c>
      <c r="C10" s="4" t="s">
        <v>485</v>
      </c>
      <c r="D10" s="31">
        <v>46000</v>
      </c>
      <c r="E10" s="31">
        <v>820000</v>
      </c>
      <c r="F10" s="108">
        <v>731800</v>
      </c>
      <c r="G10" s="7">
        <v>81.099999999999994</v>
      </c>
      <c r="H10" s="7">
        <v>91.3</v>
      </c>
      <c r="I10" s="7">
        <v>64.7</v>
      </c>
      <c r="J10" s="7">
        <v>99</v>
      </c>
      <c r="K10" s="58">
        <v>86.8</v>
      </c>
      <c r="L10" s="7">
        <f>Performance[[#This Row],[Actual_Result]]/Performance[[#This Row],[Performance_Target]]</f>
        <v>0.89243902439024392</v>
      </c>
      <c r="M10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10" s="110" t="str">
        <f>IF(Performance[[#This Row],[Overall_Score]]&gt;=90,"Passed","Not Passed")</f>
        <v>Not Passed</v>
      </c>
      <c r="O10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10" s="7">
        <f>Performance[[#This Row],[Bonus_%]]*Performance[[#This Row],[Monthly_Salary]]</f>
        <v>0</v>
      </c>
    </row>
    <row r="11" spans="1:16" x14ac:dyDescent="0.25">
      <c r="A11" s="17" t="s">
        <v>65</v>
      </c>
      <c r="B11" s="4" t="s">
        <v>498</v>
      </c>
      <c r="C11" s="4" t="s">
        <v>485</v>
      </c>
      <c r="D11" s="31">
        <v>30500</v>
      </c>
      <c r="E11" s="31">
        <v>1100000</v>
      </c>
      <c r="F11" s="108">
        <v>808000</v>
      </c>
      <c r="G11" s="7">
        <v>83.6</v>
      </c>
      <c r="H11" s="7">
        <v>86.9</v>
      </c>
      <c r="I11" s="7">
        <v>60</v>
      </c>
      <c r="J11" s="7">
        <v>84.8</v>
      </c>
      <c r="K11" s="58">
        <v>77.2</v>
      </c>
      <c r="L11" s="7">
        <f>Performance[[#This Row],[Actual_Result]]/Performance[[#This Row],[Performance_Target]]</f>
        <v>0.7345454545454545</v>
      </c>
      <c r="M11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11" s="110" t="str">
        <f>IF(Performance[[#This Row],[Overall_Score]]&gt;=90,"Passed","Not Passed")</f>
        <v>Not Passed</v>
      </c>
      <c r="O11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11" s="7">
        <f>Performance[[#This Row],[Bonus_%]]*Performance[[#This Row],[Monthly_Salary]]</f>
        <v>0</v>
      </c>
    </row>
    <row r="12" spans="1:16" x14ac:dyDescent="0.25">
      <c r="A12" s="17" t="s">
        <v>184</v>
      </c>
      <c r="B12" s="4" t="s">
        <v>499</v>
      </c>
      <c r="C12" s="4" t="s">
        <v>485</v>
      </c>
      <c r="D12" s="31">
        <v>28500</v>
      </c>
      <c r="E12" s="31">
        <v>1120000</v>
      </c>
      <c r="F12" s="108">
        <v>1132800</v>
      </c>
      <c r="G12" s="7">
        <v>93.4</v>
      </c>
      <c r="H12" s="7">
        <v>95.6</v>
      </c>
      <c r="I12" s="7">
        <v>78.5</v>
      </c>
      <c r="J12" s="7">
        <v>76.400000000000006</v>
      </c>
      <c r="K12" s="58">
        <v>93.1</v>
      </c>
      <c r="L12" s="7">
        <f>Performance[[#This Row],[Actual_Result]]/Performance[[#This Row],[Performance_Target]]</f>
        <v>1.0114285714285713</v>
      </c>
      <c r="M12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12" s="110" t="str">
        <f>IF(Performance[[#This Row],[Overall_Score]]&gt;=90,"Passed","Not Passed")</f>
        <v>Passed</v>
      </c>
      <c r="O12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12" s="7">
        <f>Performance[[#This Row],[Bonus_%]]*Performance[[#This Row],[Monthly_Salary]]</f>
        <v>2850</v>
      </c>
    </row>
    <row r="13" spans="1:16" x14ac:dyDescent="0.25">
      <c r="A13" s="17" t="s">
        <v>93</v>
      </c>
      <c r="B13" s="4" t="s">
        <v>500</v>
      </c>
      <c r="C13" s="4" t="s">
        <v>485</v>
      </c>
      <c r="D13" s="31">
        <v>31000</v>
      </c>
      <c r="E13" s="31">
        <v>1110000</v>
      </c>
      <c r="F13" s="108">
        <v>1387300</v>
      </c>
      <c r="G13" s="7">
        <v>90.4</v>
      </c>
      <c r="H13" s="7">
        <v>89</v>
      </c>
      <c r="I13" s="7">
        <v>80.400000000000006</v>
      </c>
      <c r="J13" s="7">
        <v>85.2</v>
      </c>
      <c r="K13" s="58">
        <v>100</v>
      </c>
      <c r="L13" s="7">
        <f>Performance[[#This Row],[Actual_Result]]/Performance[[#This Row],[Performance_Target]]</f>
        <v>1.2498198198198198</v>
      </c>
      <c r="M1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13" s="110" t="str">
        <f>IF(Performance[[#This Row],[Overall_Score]]&gt;=90,"Passed","Not Passed")</f>
        <v>Passed</v>
      </c>
      <c r="O1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13" s="7">
        <f>Performance[[#This Row],[Bonus_%]]*Performance[[#This Row],[Monthly_Salary]]</f>
        <v>6200</v>
      </c>
    </row>
    <row r="14" spans="1:16" x14ac:dyDescent="0.25">
      <c r="A14" s="17" t="s">
        <v>160</v>
      </c>
      <c r="B14" s="4" t="s">
        <v>501</v>
      </c>
      <c r="C14" s="4" t="s">
        <v>485</v>
      </c>
      <c r="D14" s="31">
        <v>44500</v>
      </c>
      <c r="E14" s="31">
        <v>1170000</v>
      </c>
      <c r="F14" s="108">
        <v>1073800</v>
      </c>
      <c r="G14" s="7">
        <v>88.9</v>
      </c>
      <c r="H14" s="7">
        <v>97.3</v>
      </c>
      <c r="I14" s="7">
        <v>78.099999999999994</v>
      </c>
      <c r="J14" s="7">
        <v>81.8</v>
      </c>
      <c r="K14" s="58">
        <v>88.9</v>
      </c>
      <c r="L14" s="7">
        <f>Performance[[#This Row],[Actual_Result]]/Performance[[#This Row],[Performance_Target]]</f>
        <v>0.9177777777777778</v>
      </c>
      <c r="M1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14" s="110" t="str">
        <f>IF(Performance[[#This Row],[Overall_Score]]&gt;=90,"Passed","Not Passed")</f>
        <v>Not Passed</v>
      </c>
      <c r="O1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14" s="7">
        <f>Performance[[#This Row],[Bonus_%]]*Performance[[#This Row],[Monthly_Salary]]</f>
        <v>2225</v>
      </c>
    </row>
    <row r="15" spans="1:16" x14ac:dyDescent="0.25">
      <c r="A15" s="17" t="s">
        <v>312</v>
      </c>
      <c r="B15" s="4" t="s">
        <v>502</v>
      </c>
      <c r="C15" s="4" t="s">
        <v>485</v>
      </c>
      <c r="D15" s="31">
        <v>42000</v>
      </c>
      <c r="E15" s="31">
        <v>830000</v>
      </c>
      <c r="F15" s="108">
        <v>1037300</v>
      </c>
      <c r="G15" s="7">
        <v>90.4</v>
      </c>
      <c r="H15" s="7">
        <v>94.3</v>
      </c>
      <c r="I15" s="7">
        <v>63.7</v>
      </c>
      <c r="J15" s="7">
        <v>86.8</v>
      </c>
      <c r="K15" s="58">
        <v>100</v>
      </c>
      <c r="L15" s="7">
        <f>Performance[[#This Row],[Actual_Result]]/Performance[[#This Row],[Performance_Target]]</f>
        <v>1.2497590361445783</v>
      </c>
      <c r="M1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15" s="110" t="str">
        <f>IF(Performance[[#This Row],[Overall_Score]]&gt;=90,"Passed","Not Passed")</f>
        <v>Passed</v>
      </c>
      <c r="O1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15" s="7">
        <f>Performance[[#This Row],[Bonus_%]]*Performance[[#This Row],[Monthly_Salary]]</f>
        <v>8400</v>
      </c>
    </row>
    <row r="16" spans="1:16" x14ac:dyDescent="0.25">
      <c r="A16" s="17" t="s">
        <v>221</v>
      </c>
      <c r="B16" s="4" t="s">
        <v>503</v>
      </c>
      <c r="C16" s="4" t="s">
        <v>485</v>
      </c>
      <c r="D16" s="31">
        <v>28500</v>
      </c>
      <c r="E16" s="31">
        <v>730000</v>
      </c>
      <c r="F16" s="108">
        <v>807100</v>
      </c>
      <c r="G16" s="7">
        <v>57.2</v>
      </c>
      <c r="H16" s="7">
        <v>95</v>
      </c>
      <c r="I16" s="7">
        <v>75.8</v>
      </c>
      <c r="J16" s="7">
        <v>82.2</v>
      </c>
      <c r="K16" s="58">
        <v>90.6</v>
      </c>
      <c r="L16" s="7">
        <f>Performance[[#This Row],[Actual_Result]]/Performance[[#This Row],[Performance_Target]]</f>
        <v>1.1056164383561644</v>
      </c>
      <c r="M16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16" s="110" t="str">
        <f>IF(Performance[[#This Row],[Overall_Score]]&gt;=90,"Passed","Not Passed")</f>
        <v>Passed</v>
      </c>
      <c r="O16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16" s="7">
        <f>Performance[[#This Row],[Bonus_%]]*Performance[[#This Row],[Monthly_Salary]]</f>
        <v>4275</v>
      </c>
    </row>
    <row r="17" spans="1:16" x14ac:dyDescent="0.25">
      <c r="A17" s="17" t="s">
        <v>60</v>
      </c>
      <c r="B17" s="4" t="s">
        <v>504</v>
      </c>
      <c r="C17" s="4" t="s">
        <v>485</v>
      </c>
      <c r="D17" s="31">
        <v>38500</v>
      </c>
      <c r="E17" s="31">
        <v>760000</v>
      </c>
      <c r="F17" s="108">
        <v>620700</v>
      </c>
      <c r="G17" s="7">
        <v>80.7</v>
      </c>
      <c r="H17" s="7">
        <v>99.6</v>
      </c>
      <c r="I17" s="7">
        <v>75.5</v>
      </c>
      <c r="J17" s="7">
        <v>91.7</v>
      </c>
      <c r="K17" s="58">
        <v>84.2</v>
      </c>
      <c r="L17" s="7">
        <f>Performance[[#This Row],[Actual_Result]]/Performance[[#This Row],[Performance_Target]]</f>
        <v>0.81671052631578944</v>
      </c>
      <c r="M17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17" s="110" t="str">
        <f>IF(Performance[[#This Row],[Overall_Score]]&gt;=90,"Passed","Not Passed")</f>
        <v>Not Passed</v>
      </c>
      <c r="O17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17" s="7">
        <f>Performance[[#This Row],[Bonus_%]]*Performance[[#This Row],[Monthly_Salary]]</f>
        <v>0</v>
      </c>
    </row>
    <row r="18" spans="1:16" x14ac:dyDescent="0.25">
      <c r="A18" s="17" t="s">
        <v>299</v>
      </c>
      <c r="B18" s="4" t="s">
        <v>505</v>
      </c>
      <c r="C18" s="4" t="s">
        <v>485</v>
      </c>
      <c r="D18" s="31">
        <v>31000</v>
      </c>
      <c r="E18" s="31">
        <v>1170000</v>
      </c>
      <c r="F18" s="108">
        <v>976800</v>
      </c>
      <c r="G18" s="7">
        <v>88.8</v>
      </c>
      <c r="H18" s="7">
        <v>94</v>
      </c>
      <c r="I18" s="7">
        <v>83.5</v>
      </c>
      <c r="J18" s="7">
        <v>84.1</v>
      </c>
      <c r="K18" s="58">
        <v>85.7</v>
      </c>
      <c r="L18" s="7">
        <f>Performance[[#This Row],[Actual_Result]]/Performance[[#This Row],[Performance_Target]]</f>
        <v>0.83487179487179486</v>
      </c>
      <c r="M18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18" s="110" t="str">
        <f>IF(Performance[[#This Row],[Overall_Score]]&gt;=90,"Passed","Not Passed")</f>
        <v>Not Passed</v>
      </c>
      <c r="O18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18" s="7">
        <f>Performance[[#This Row],[Bonus_%]]*Performance[[#This Row],[Monthly_Salary]]</f>
        <v>0</v>
      </c>
    </row>
    <row r="19" spans="1:16" x14ac:dyDescent="0.25">
      <c r="A19" s="17" t="s">
        <v>265</v>
      </c>
      <c r="B19" s="4" t="s">
        <v>506</v>
      </c>
      <c r="C19" s="4" t="s">
        <v>485</v>
      </c>
      <c r="D19" s="31">
        <v>32000</v>
      </c>
      <c r="E19" s="31">
        <v>990000</v>
      </c>
      <c r="F19" s="108">
        <v>1084500</v>
      </c>
      <c r="G19" s="7">
        <v>58.9</v>
      </c>
      <c r="H19" s="7">
        <v>88.3</v>
      </c>
      <c r="I19" s="7">
        <v>84.2</v>
      </c>
      <c r="J19" s="7">
        <v>67.7</v>
      </c>
      <c r="K19" s="58">
        <v>88.5</v>
      </c>
      <c r="L19" s="7">
        <f>Performance[[#This Row],[Actual_Result]]/Performance[[#This Row],[Performance_Target]]</f>
        <v>1.0954545454545455</v>
      </c>
      <c r="M19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19" s="110" t="str">
        <f>IF(Performance[[#This Row],[Overall_Score]]&gt;=90,"Passed","Not Passed")</f>
        <v>Not Passed</v>
      </c>
      <c r="O19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19" s="7">
        <f>Performance[[#This Row],[Bonus_%]]*Performance[[#This Row],[Monthly_Salary]]</f>
        <v>3200</v>
      </c>
    </row>
    <row r="20" spans="1:16" x14ac:dyDescent="0.25">
      <c r="A20" s="17" t="s">
        <v>355</v>
      </c>
      <c r="B20" s="4" t="s">
        <v>507</v>
      </c>
      <c r="C20" s="4" t="s">
        <v>485</v>
      </c>
      <c r="D20" s="31">
        <v>37500</v>
      </c>
      <c r="E20" s="31">
        <v>710000</v>
      </c>
      <c r="F20" s="108">
        <v>628000</v>
      </c>
      <c r="G20" s="7">
        <v>81.5</v>
      </c>
      <c r="H20" s="7">
        <v>90.7</v>
      </c>
      <c r="I20" s="7">
        <v>73.099999999999994</v>
      </c>
      <c r="J20" s="7">
        <v>86.2</v>
      </c>
      <c r="K20" s="58">
        <v>85.4</v>
      </c>
      <c r="L20" s="7">
        <f>Performance[[#This Row],[Actual_Result]]/Performance[[#This Row],[Performance_Target]]</f>
        <v>0.88450704225352117</v>
      </c>
      <c r="M20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20" s="110" t="str">
        <f>IF(Performance[[#This Row],[Overall_Score]]&gt;=90,"Passed","Not Passed")</f>
        <v>Not Passed</v>
      </c>
      <c r="O20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20" s="7">
        <f>Performance[[#This Row],[Bonus_%]]*Performance[[#This Row],[Monthly_Salary]]</f>
        <v>0</v>
      </c>
    </row>
    <row r="21" spans="1:16" x14ac:dyDescent="0.25">
      <c r="A21" s="17" t="s">
        <v>243</v>
      </c>
      <c r="B21" s="4" t="s">
        <v>508</v>
      </c>
      <c r="C21" s="4" t="s">
        <v>485</v>
      </c>
      <c r="D21" s="31">
        <v>38000</v>
      </c>
      <c r="E21" s="31">
        <v>880000</v>
      </c>
      <c r="F21" s="108">
        <v>1022300</v>
      </c>
      <c r="G21" s="7">
        <v>73.400000000000006</v>
      </c>
      <c r="H21" s="7">
        <v>91.7</v>
      </c>
      <c r="I21" s="7">
        <v>72.7</v>
      </c>
      <c r="J21" s="7">
        <v>64.599999999999994</v>
      </c>
      <c r="K21" s="58">
        <v>93.1</v>
      </c>
      <c r="L21" s="7">
        <f>Performance[[#This Row],[Actual_Result]]/Performance[[#This Row],[Performance_Target]]</f>
        <v>1.1617045454545454</v>
      </c>
      <c r="M21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21" s="110" t="str">
        <f>IF(Performance[[#This Row],[Overall_Score]]&gt;=90,"Passed","Not Passed")</f>
        <v>Passed</v>
      </c>
      <c r="O21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21" s="7">
        <f>Performance[[#This Row],[Bonus_%]]*Performance[[#This Row],[Monthly_Salary]]</f>
        <v>5700</v>
      </c>
    </row>
    <row r="22" spans="1:16" x14ac:dyDescent="0.25">
      <c r="A22" s="17" t="s">
        <v>111</v>
      </c>
      <c r="B22" s="4" t="s">
        <v>509</v>
      </c>
      <c r="C22" s="4" t="s">
        <v>485</v>
      </c>
      <c r="D22" s="31">
        <v>34500</v>
      </c>
      <c r="E22" s="31">
        <v>920000</v>
      </c>
      <c r="F22" s="108">
        <v>925100</v>
      </c>
      <c r="G22" s="7">
        <v>90.4</v>
      </c>
      <c r="H22" s="7">
        <v>98.1</v>
      </c>
      <c r="I22" s="7">
        <v>71.3</v>
      </c>
      <c r="J22" s="7">
        <v>74</v>
      </c>
      <c r="K22" s="58">
        <v>91.4</v>
      </c>
      <c r="L22" s="7">
        <f>Performance[[#This Row],[Actual_Result]]/Performance[[#This Row],[Performance_Target]]</f>
        <v>1.0055434782608696</v>
      </c>
      <c r="M22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22" s="110" t="str">
        <f>IF(Performance[[#This Row],[Overall_Score]]&gt;=90,"Passed","Not Passed")</f>
        <v>Passed</v>
      </c>
      <c r="O22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22" s="7">
        <f>Performance[[#This Row],[Bonus_%]]*Performance[[#This Row],[Monthly_Salary]]</f>
        <v>3450</v>
      </c>
    </row>
    <row r="23" spans="1:16" x14ac:dyDescent="0.25">
      <c r="A23" s="17" t="s">
        <v>168</v>
      </c>
      <c r="B23" s="4" t="s">
        <v>510</v>
      </c>
      <c r="C23" s="4" t="s">
        <v>485</v>
      </c>
      <c r="D23" s="31">
        <v>29000</v>
      </c>
      <c r="E23" s="31">
        <v>1010000</v>
      </c>
      <c r="F23" s="108">
        <v>993700</v>
      </c>
      <c r="G23" s="7">
        <v>89.5</v>
      </c>
      <c r="H23" s="7">
        <v>94.6</v>
      </c>
      <c r="I23" s="7">
        <v>82.9</v>
      </c>
      <c r="J23" s="7">
        <v>93.1</v>
      </c>
      <c r="K23" s="58">
        <v>93.9</v>
      </c>
      <c r="L23" s="7">
        <f>Performance[[#This Row],[Actual_Result]]/Performance[[#This Row],[Performance_Target]]</f>
        <v>0.98386138613861385</v>
      </c>
      <c r="M2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23" s="110" t="str">
        <f>IF(Performance[[#This Row],[Overall_Score]]&gt;=90,"Passed","Not Passed")</f>
        <v>Passed</v>
      </c>
      <c r="O2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23" s="7">
        <f>Performance[[#This Row],[Bonus_%]]*Performance[[#This Row],[Monthly_Salary]]</f>
        <v>1450</v>
      </c>
    </row>
    <row r="24" spans="1:16" x14ac:dyDescent="0.25">
      <c r="A24" s="17" t="s">
        <v>511</v>
      </c>
      <c r="B24" s="4" t="s">
        <v>512</v>
      </c>
      <c r="C24" s="4" t="s">
        <v>485</v>
      </c>
      <c r="D24" s="31">
        <v>43500</v>
      </c>
      <c r="E24" s="31">
        <v>950000</v>
      </c>
      <c r="F24" s="108">
        <v>804600</v>
      </c>
      <c r="G24" s="7">
        <v>80</v>
      </c>
      <c r="H24" s="7">
        <v>100</v>
      </c>
      <c r="I24" s="7">
        <v>78</v>
      </c>
      <c r="J24" s="7">
        <v>73.900000000000006</v>
      </c>
      <c r="K24" s="58">
        <v>83</v>
      </c>
      <c r="L24" s="7">
        <f>Performance[[#This Row],[Actual_Result]]/Performance[[#This Row],[Performance_Target]]</f>
        <v>0.84694736842105267</v>
      </c>
      <c r="M2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24" s="110" t="str">
        <f>IF(Performance[[#This Row],[Overall_Score]]&gt;=90,"Passed","Not Passed")</f>
        <v>Not Passed</v>
      </c>
      <c r="O2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24" s="7">
        <f>Performance[[#This Row],[Bonus_%]]*Performance[[#This Row],[Monthly_Salary]]</f>
        <v>0</v>
      </c>
    </row>
    <row r="25" spans="1:16" x14ac:dyDescent="0.25">
      <c r="A25" s="17" t="s">
        <v>197</v>
      </c>
      <c r="B25" s="4" t="s">
        <v>513</v>
      </c>
      <c r="C25" s="4" t="s">
        <v>485</v>
      </c>
      <c r="D25" s="31">
        <v>39500</v>
      </c>
      <c r="E25" s="31">
        <v>740000</v>
      </c>
      <c r="F25" s="108">
        <v>636000</v>
      </c>
      <c r="G25" s="7">
        <v>73.599999999999994</v>
      </c>
      <c r="H25" s="7">
        <v>95.4</v>
      </c>
      <c r="I25" s="7">
        <v>71</v>
      </c>
      <c r="J25" s="7">
        <v>86.2</v>
      </c>
      <c r="K25" s="58">
        <v>83</v>
      </c>
      <c r="L25" s="7">
        <f>Performance[[#This Row],[Actual_Result]]/Performance[[#This Row],[Performance_Target]]</f>
        <v>0.85945945945945945</v>
      </c>
      <c r="M2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25" s="110" t="str">
        <f>IF(Performance[[#This Row],[Overall_Score]]&gt;=90,"Passed","Not Passed")</f>
        <v>Not Passed</v>
      </c>
      <c r="O2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25" s="7">
        <f>Performance[[#This Row],[Bonus_%]]*Performance[[#This Row],[Monthly_Salary]]</f>
        <v>0</v>
      </c>
    </row>
    <row r="26" spans="1:16" x14ac:dyDescent="0.25">
      <c r="A26" s="17" t="s">
        <v>211</v>
      </c>
      <c r="B26" s="4" t="s">
        <v>514</v>
      </c>
      <c r="C26" s="4" t="s">
        <v>485</v>
      </c>
      <c r="D26" s="31">
        <v>31500</v>
      </c>
      <c r="E26" s="31">
        <v>800000</v>
      </c>
      <c r="F26" s="108">
        <v>678000</v>
      </c>
      <c r="G26" s="7">
        <v>62.9</v>
      </c>
      <c r="H26" s="7">
        <v>95.2</v>
      </c>
      <c r="I26" s="7">
        <v>81.5</v>
      </c>
      <c r="J26" s="7">
        <v>88.1</v>
      </c>
      <c r="K26" s="58">
        <v>81.599999999999994</v>
      </c>
      <c r="L26" s="7">
        <f>Performance[[#This Row],[Actual_Result]]/Performance[[#This Row],[Performance_Target]]</f>
        <v>0.84750000000000003</v>
      </c>
      <c r="M26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26" s="110" t="str">
        <f>IF(Performance[[#This Row],[Overall_Score]]&gt;=90,"Passed","Not Passed")</f>
        <v>Not Passed</v>
      </c>
      <c r="O26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26" s="7">
        <f>Performance[[#This Row],[Bonus_%]]*Performance[[#This Row],[Monthly_Salary]]</f>
        <v>0</v>
      </c>
    </row>
    <row r="27" spans="1:16" x14ac:dyDescent="0.25">
      <c r="A27" s="17" t="s">
        <v>515</v>
      </c>
      <c r="B27" s="4" t="s">
        <v>516</v>
      </c>
      <c r="C27" s="4" t="s">
        <v>485</v>
      </c>
      <c r="D27" s="31">
        <v>34000</v>
      </c>
      <c r="E27" s="31">
        <v>1200000</v>
      </c>
      <c r="F27" s="108">
        <v>1030600</v>
      </c>
      <c r="G27" s="7">
        <v>75</v>
      </c>
      <c r="H27" s="7">
        <v>95.6</v>
      </c>
      <c r="I27" s="7">
        <v>95.2</v>
      </c>
      <c r="J27" s="7">
        <v>84.1</v>
      </c>
      <c r="K27" s="58">
        <v>85.3</v>
      </c>
      <c r="L27" s="7">
        <f>Performance[[#This Row],[Actual_Result]]/Performance[[#This Row],[Performance_Target]]</f>
        <v>0.85883333333333334</v>
      </c>
      <c r="M27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27" s="110" t="str">
        <f>IF(Performance[[#This Row],[Overall_Score]]&gt;=90,"Passed","Not Passed")</f>
        <v>Not Passed</v>
      </c>
      <c r="O27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27" s="7">
        <f>Performance[[#This Row],[Bonus_%]]*Performance[[#This Row],[Monthly_Salary]]</f>
        <v>0</v>
      </c>
    </row>
    <row r="28" spans="1:16" x14ac:dyDescent="0.25">
      <c r="A28" s="17" t="s">
        <v>336</v>
      </c>
      <c r="B28" s="4" t="s">
        <v>517</v>
      </c>
      <c r="C28" s="4" t="s">
        <v>485</v>
      </c>
      <c r="D28" s="31">
        <v>47000</v>
      </c>
      <c r="E28" s="31">
        <v>1190000</v>
      </c>
      <c r="F28" s="108">
        <v>1257100</v>
      </c>
      <c r="G28" s="7">
        <v>79.099999999999994</v>
      </c>
      <c r="H28" s="7">
        <v>87.8</v>
      </c>
      <c r="I28" s="7">
        <v>89.7</v>
      </c>
      <c r="J28" s="7">
        <v>91.3</v>
      </c>
      <c r="K28" s="58">
        <v>94.8</v>
      </c>
      <c r="L28" s="7">
        <f>Performance[[#This Row],[Actual_Result]]/Performance[[#This Row],[Performance_Target]]</f>
        <v>1.0563865546218487</v>
      </c>
      <c r="M28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28" s="110" t="str">
        <f>IF(Performance[[#This Row],[Overall_Score]]&gt;=90,"Passed","Not Passed")</f>
        <v>Passed</v>
      </c>
      <c r="O28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28" s="7">
        <f>Performance[[#This Row],[Bonus_%]]*Performance[[#This Row],[Monthly_Salary]]</f>
        <v>4700</v>
      </c>
    </row>
    <row r="29" spans="1:16" x14ac:dyDescent="0.25">
      <c r="A29" s="17" t="s">
        <v>73</v>
      </c>
      <c r="B29" s="4" t="s">
        <v>518</v>
      </c>
      <c r="C29" s="4" t="s">
        <v>485</v>
      </c>
      <c r="D29" s="31">
        <v>36500</v>
      </c>
      <c r="E29" s="31">
        <v>970000</v>
      </c>
      <c r="F29" s="108">
        <v>1074700</v>
      </c>
      <c r="G29" s="7">
        <v>80.400000000000006</v>
      </c>
      <c r="H29" s="7">
        <v>96.4</v>
      </c>
      <c r="I29" s="7">
        <v>88.9</v>
      </c>
      <c r="J29" s="7">
        <v>97</v>
      </c>
      <c r="K29" s="58">
        <v>99</v>
      </c>
      <c r="L29" s="7">
        <f>Performance[[#This Row],[Actual_Result]]/Performance[[#This Row],[Performance_Target]]</f>
        <v>1.107938144329897</v>
      </c>
      <c r="M29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29" s="110" t="str">
        <f>IF(Performance[[#This Row],[Overall_Score]]&gt;=90,"Passed","Not Passed")</f>
        <v>Passed</v>
      </c>
      <c r="O29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29" s="7">
        <f>Performance[[#This Row],[Bonus_%]]*Performance[[#This Row],[Monthly_Salary]]</f>
        <v>5475</v>
      </c>
    </row>
    <row r="30" spans="1:16" x14ac:dyDescent="0.25">
      <c r="A30" s="17" t="s">
        <v>274</v>
      </c>
      <c r="B30" s="4" t="s">
        <v>519</v>
      </c>
      <c r="C30" s="4" t="s">
        <v>520</v>
      </c>
      <c r="D30" s="31">
        <v>37000</v>
      </c>
      <c r="E30" s="31">
        <v>1080000</v>
      </c>
      <c r="F30" s="108">
        <v>1250600</v>
      </c>
      <c r="G30" s="7">
        <v>82.6</v>
      </c>
      <c r="H30" s="7">
        <v>88.8</v>
      </c>
      <c r="I30" s="7">
        <v>81.599999999999994</v>
      </c>
      <c r="J30" s="7">
        <v>86.1</v>
      </c>
      <c r="K30" s="58">
        <v>98.6</v>
      </c>
      <c r="L30" s="7">
        <f>Performance[[#This Row],[Actual_Result]]/Performance[[#This Row],[Performance_Target]]</f>
        <v>1.1579629629629629</v>
      </c>
      <c r="M30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30" s="110" t="str">
        <f>IF(Performance[[#This Row],[Overall_Score]]&gt;=90,"Passed","Not Passed")</f>
        <v>Passed</v>
      </c>
      <c r="O30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30" s="7">
        <f>Performance[[#This Row],[Bonus_%]]*Performance[[#This Row],[Monthly_Salary]]</f>
        <v>5550</v>
      </c>
    </row>
    <row r="31" spans="1:16" x14ac:dyDescent="0.25">
      <c r="A31" s="17" t="s">
        <v>287</v>
      </c>
      <c r="B31" s="4" t="s">
        <v>521</v>
      </c>
      <c r="C31" s="4" t="s">
        <v>520</v>
      </c>
      <c r="D31" s="31">
        <v>38000</v>
      </c>
      <c r="E31" s="31">
        <v>890000</v>
      </c>
      <c r="F31" s="108">
        <v>985800</v>
      </c>
      <c r="G31" s="7">
        <v>94.2</v>
      </c>
      <c r="H31" s="7">
        <v>93.6</v>
      </c>
      <c r="I31" s="7">
        <v>99</v>
      </c>
      <c r="J31" s="7">
        <v>69.900000000000006</v>
      </c>
      <c r="K31" s="58">
        <v>98.4</v>
      </c>
      <c r="L31" s="7">
        <f>Performance[[#This Row],[Actual_Result]]/Performance[[#This Row],[Performance_Target]]</f>
        <v>1.1076404494382022</v>
      </c>
      <c r="M31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31" s="110" t="str">
        <f>IF(Performance[[#This Row],[Overall_Score]]&gt;=90,"Passed","Not Passed")</f>
        <v>Passed</v>
      </c>
      <c r="O31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31" s="7">
        <f>Performance[[#This Row],[Bonus_%]]*Performance[[#This Row],[Monthly_Salary]]</f>
        <v>5700</v>
      </c>
    </row>
    <row r="32" spans="1:16" x14ac:dyDescent="0.25">
      <c r="A32" s="17" t="s">
        <v>364</v>
      </c>
      <c r="B32" s="4" t="s">
        <v>522</v>
      </c>
      <c r="C32" s="4" t="s">
        <v>520</v>
      </c>
      <c r="D32" s="31">
        <v>42000</v>
      </c>
      <c r="E32" s="31">
        <v>810000</v>
      </c>
      <c r="F32" s="108">
        <v>854900</v>
      </c>
      <c r="G32" s="7">
        <v>74.8</v>
      </c>
      <c r="H32" s="7">
        <v>86.4</v>
      </c>
      <c r="I32" s="7">
        <v>78</v>
      </c>
      <c r="J32" s="7">
        <v>72.3</v>
      </c>
      <c r="K32" s="58">
        <v>89.7</v>
      </c>
      <c r="L32" s="7">
        <f>Performance[[#This Row],[Actual_Result]]/Performance[[#This Row],[Performance_Target]]</f>
        <v>1.0554320987654322</v>
      </c>
      <c r="M32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32" s="110" t="str">
        <f>IF(Performance[[#This Row],[Overall_Score]]&gt;=90,"Passed","Not Passed")</f>
        <v>Not Passed</v>
      </c>
      <c r="O32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32" s="7">
        <f>Performance[[#This Row],[Bonus_%]]*Performance[[#This Row],[Monthly_Salary]]</f>
        <v>4200</v>
      </c>
    </row>
    <row r="33" spans="1:16" x14ac:dyDescent="0.25">
      <c r="A33" s="17" t="s">
        <v>83</v>
      </c>
      <c r="B33" s="4" t="s">
        <v>523</v>
      </c>
      <c r="C33" s="4" t="s">
        <v>520</v>
      </c>
      <c r="D33" s="31">
        <v>31000</v>
      </c>
      <c r="E33" s="31">
        <v>1300000</v>
      </c>
      <c r="F33" s="108">
        <v>1236200</v>
      </c>
      <c r="G33" s="7">
        <v>82.3</v>
      </c>
      <c r="H33" s="7">
        <v>98.5</v>
      </c>
      <c r="I33" s="7">
        <v>64.900000000000006</v>
      </c>
      <c r="J33" s="7">
        <v>91.3</v>
      </c>
      <c r="K33" s="58">
        <v>89.3</v>
      </c>
      <c r="L33" s="7">
        <f>Performance[[#This Row],[Actual_Result]]/Performance[[#This Row],[Performance_Target]]</f>
        <v>0.95092307692307687</v>
      </c>
      <c r="M3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33" s="110" t="str">
        <f>IF(Performance[[#This Row],[Overall_Score]]&gt;=90,"Passed","Not Passed")</f>
        <v>Not Passed</v>
      </c>
      <c r="O3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33" s="7">
        <f>Performance[[#This Row],[Bonus_%]]*Performance[[#This Row],[Monthly_Salary]]</f>
        <v>1550</v>
      </c>
    </row>
    <row r="34" spans="1:16" x14ac:dyDescent="0.25">
      <c r="A34" s="17" t="s">
        <v>524</v>
      </c>
      <c r="B34" s="4" t="s">
        <v>525</v>
      </c>
      <c r="C34" s="4" t="s">
        <v>520</v>
      </c>
      <c r="D34" s="31">
        <v>37000</v>
      </c>
      <c r="E34" s="31">
        <v>1090000</v>
      </c>
      <c r="F34" s="108">
        <v>1087400</v>
      </c>
      <c r="G34" s="7">
        <v>91.3</v>
      </c>
      <c r="H34" s="7">
        <v>92.3</v>
      </c>
      <c r="I34" s="7">
        <v>66.7</v>
      </c>
      <c r="J34" s="7">
        <v>74.3</v>
      </c>
      <c r="K34" s="58">
        <v>90.2</v>
      </c>
      <c r="L34" s="7">
        <f>Performance[[#This Row],[Actual_Result]]/Performance[[#This Row],[Performance_Target]]</f>
        <v>0.99761467889908262</v>
      </c>
      <c r="M3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34" s="110" t="str">
        <f>IF(Performance[[#This Row],[Overall_Score]]&gt;=90,"Passed","Not Passed")</f>
        <v>Passed</v>
      </c>
      <c r="O3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34" s="7">
        <f>Performance[[#This Row],[Bonus_%]]*Performance[[#This Row],[Monthly_Salary]]</f>
        <v>1850</v>
      </c>
    </row>
    <row r="35" spans="1:16" x14ac:dyDescent="0.25">
      <c r="A35" s="17" t="s">
        <v>207</v>
      </c>
      <c r="B35" s="4" t="s">
        <v>526</v>
      </c>
      <c r="C35" s="4" t="s">
        <v>520</v>
      </c>
      <c r="D35" s="31">
        <v>49500</v>
      </c>
      <c r="E35" s="31">
        <v>850000</v>
      </c>
      <c r="F35" s="108">
        <v>635400</v>
      </c>
      <c r="G35" s="7">
        <v>86.3</v>
      </c>
      <c r="H35" s="7">
        <v>99.9</v>
      </c>
      <c r="I35" s="7">
        <v>74.400000000000006</v>
      </c>
      <c r="J35" s="7">
        <v>89</v>
      </c>
      <c r="K35" s="58">
        <v>81.7</v>
      </c>
      <c r="L35" s="7">
        <f>Performance[[#This Row],[Actual_Result]]/Performance[[#This Row],[Performance_Target]]</f>
        <v>0.74752941176470589</v>
      </c>
      <c r="M3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35" s="110" t="str">
        <f>IF(Performance[[#This Row],[Overall_Score]]&gt;=90,"Passed","Not Passed")</f>
        <v>Not Passed</v>
      </c>
      <c r="O3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35" s="7">
        <f>Performance[[#This Row],[Bonus_%]]*Performance[[#This Row],[Monthly_Salary]]</f>
        <v>0</v>
      </c>
    </row>
    <row r="36" spans="1:16" x14ac:dyDescent="0.25">
      <c r="A36" s="17" t="s">
        <v>223</v>
      </c>
      <c r="B36" s="4" t="s">
        <v>527</v>
      </c>
      <c r="C36" s="4" t="s">
        <v>520</v>
      </c>
      <c r="D36" s="31">
        <v>35000</v>
      </c>
      <c r="E36" s="31">
        <v>1070000</v>
      </c>
      <c r="F36" s="108">
        <v>755200</v>
      </c>
      <c r="G36" s="7">
        <v>83.6</v>
      </c>
      <c r="H36" s="7">
        <v>96.7</v>
      </c>
      <c r="I36" s="7">
        <v>65.5</v>
      </c>
      <c r="J36" s="7">
        <v>82.4</v>
      </c>
      <c r="K36" s="58">
        <v>77.099999999999994</v>
      </c>
      <c r="L36" s="7">
        <f>Performance[[#This Row],[Actual_Result]]/Performance[[#This Row],[Performance_Target]]</f>
        <v>0.70579439252336451</v>
      </c>
      <c r="M36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36" s="110" t="str">
        <f>IF(Performance[[#This Row],[Overall_Score]]&gt;=90,"Passed","Not Passed")</f>
        <v>Not Passed</v>
      </c>
      <c r="O36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36" s="7">
        <f>Performance[[#This Row],[Bonus_%]]*Performance[[#This Row],[Monthly_Salary]]</f>
        <v>0</v>
      </c>
    </row>
    <row r="37" spans="1:16" x14ac:dyDescent="0.25">
      <c r="A37" s="17" t="s">
        <v>290</v>
      </c>
      <c r="B37" s="4" t="s">
        <v>528</v>
      </c>
      <c r="C37" s="4" t="s">
        <v>520</v>
      </c>
      <c r="D37" s="31">
        <v>31000</v>
      </c>
      <c r="E37" s="31">
        <v>1300000</v>
      </c>
      <c r="F37" s="108">
        <v>1441500</v>
      </c>
      <c r="G37" s="7">
        <v>55.6</v>
      </c>
      <c r="H37" s="7">
        <v>99.3</v>
      </c>
      <c r="I37" s="7">
        <v>83.5</v>
      </c>
      <c r="J37" s="7">
        <v>89.7</v>
      </c>
      <c r="K37" s="58">
        <v>92.8</v>
      </c>
      <c r="L37" s="7">
        <f>Performance[[#This Row],[Actual_Result]]/Performance[[#This Row],[Performance_Target]]</f>
        <v>1.1088461538461538</v>
      </c>
      <c r="M37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37" s="110" t="str">
        <f>IF(Performance[[#This Row],[Overall_Score]]&gt;=90,"Passed","Not Passed")</f>
        <v>Passed</v>
      </c>
      <c r="O37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37" s="7">
        <f>Performance[[#This Row],[Bonus_%]]*Performance[[#This Row],[Monthly_Salary]]</f>
        <v>4650</v>
      </c>
    </row>
    <row r="38" spans="1:16" x14ac:dyDescent="0.25">
      <c r="A38" s="17" t="s">
        <v>106</v>
      </c>
      <c r="B38" s="4" t="s">
        <v>529</v>
      </c>
      <c r="C38" s="4" t="s">
        <v>520</v>
      </c>
      <c r="D38" s="31">
        <v>41500</v>
      </c>
      <c r="E38" s="31">
        <v>1290000</v>
      </c>
      <c r="F38" s="108">
        <v>1168400</v>
      </c>
      <c r="G38" s="7">
        <v>66.5</v>
      </c>
      <c r="H38" s="7">
        <v>96.1</v>
      </c>
      <c r="I38" s="7">
        <v>79.2</v>
      </c>
      <c r="J38" s="7">
        <v>84.3</v>
      </c>
      <c r="K38" s="58">
        <v>84.2</v>
      </c>
      <c r="L38" s="7">
        <f>Performance[[#This Row],[Actual_Result]]/Performance[[#This Row],[Performance_Target]]</f>
        <v>0.90573643410852711</v>
      </c>
      <c r="M38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38" s="110" t="str">
        <f>IF(Performance[[#This Row],[Overall_Score]]&gt;=90,"Passed","Not Passed")</f>
        <v>Not Passed</v>
      </c>
      <c r="O38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38" s="7">
        <f>Performance[[#This Row],[Bonus_%]]*Performance[[#This Row],[Monthly_Salary]]</f>
        <v>2075</v>
      </c>
    </row>
    <row r="39" spans="1:16" x14ac:dyDescent="0.25">
      <c r="A39" s="17" t="s">
        <v>530</v>
      </c>
      <c r="B39" s="4" t="s">
        <v>531</v>
      </c>
      <c r="C39" s="4" t="s">
        <v>520</v>
      </c>
      <c r="D39" s="31">
        <v>37000</v>
      </c>
      <c r="E39" s="31">
        <v>1220000</v>
      </c>
      <c r="F39" s="108">
        <v>1434400</v>
      </c>
      <c r="G39" s="7">
        <v>88.9</v>
      </c>
      <c r="H39" s="7">
        <v>100</v>
      </c>
      <c r="I39" s="7">
        <v>81.5</v>
      </c>
      <c r="J39" s="7">
        <v>78.5</v>
      </c>
      <c r="K39" s="58">
        <v>100</v>
      </c>
      <c r="L39" s="7">
        <f>Performance[[#This Row],[Actual_Result]]/Performance[[#This Row],[Performance_Target]]</f>
        <v>1.1757377049180329</v>
      </c>
      <c r="M39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39" s="110" t="str">
        <f>IF(Performance[[#This Row],[Overall_Score]]&gt;=90,"Passed","Not Passed")</f>
        <v>Passed</v>
      </c>
      <c r="O39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39" s="7">
        <f>Performance[[#This Row],[Bonus_%]]*Performance[[#This Row],[Monthly_Salary]]</f>
        <v>5550</v>
      </c>
    </row>
    <row r="40" spans="1:16" x14ac:dyDescent="0.25">
      <c r="A40" s="17" t="s">
        <v>254</v>
      </c>
      <c r="B40" s="4" t="s">
        <v>532</v>
      </c>
      <c r="C40" s="4" t="s">
        <v>520</v>
      </c>
      <c r="D40" s="31">
        <v>33500</v>
      </c>
      <c r="E40" s="31">
        <v>1100000</v>
      </c>
      <c r="F40" s="108">
        <v>1040700</v>
      </c>
      <c r="G40" s="7">
        <v>85.7</v>
      </c>
      <c r="H40" s="7">
        <v>98.1</v>
      </c>
      <c r="I40" s="7">
        <v>65.3</v>
      </c>
      <c r="J40" s="7">
        <v>84.1</v>
      </c>
      <c r="K40" s="58">
        <v>88.7</v>
      </c>
      <c r="L40" s="7">
        <f>Performance[[#This Row],[Actual_Result]]/Performance[[#This Row],[Performance_Target]]</f>
        <v>0.94609090909090909</v>
      </c>
      <c r="M40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40" s="110" t="str">
        <f>IF(Performance[[#This Row],[Overall_Score]]&gt;=90,"Passed","Not Passed")</f>
        <v>Not Passed</v>
      </c>
      <c r="O40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40" s="7">
        <f>Performance[[#This Row],[Bonus_%]]*Performance[[#This Row],[Monthly_Salary]]</f>
        <v>1675</v>
      </c>
    </row>
    <row r="41" spans="1:16" x14ac:dyDescent="0.25">
      <c r="A41" s="17" t="s">
        <v>189</v>
      </c>
      <c r="B41" s="4" t="s">
        <v>533</v>
      </c>
      <c r="C41" s="4" t="s">
        <v>520</v>
      </c>
      <c r="D41" s="31">
        <v>44000</v>
      </c>
      <c r="E41" s="31">
        <v>1260000</v>
      </c>
      <c r="F41" s="108">
        <v>1599800</v>
      </c>
      <c r="G41" s="7">
        <v>79.8</v>
      </c>
      <c r="H41" s="7">
        <v>97.7</v>
      </c>
      <c r="I41" s="7">
        <v>84.9</v>
      </c>
      <c r="J41" s="7">
        <v>91.6</v>
      </c>
      <c r="K41" s="58">
        <v>100</v>
      </c>
      <c r="L41" s="7">
        <f>Performance[[#This Row],[Actual_Result]]/Performance[[#This Row],[Performance_Target]]</f>
        <v>1.2696825396825397</v>
      </c>
      <c r="M41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41" s="110" t="str">
        <f>IF(Performance[[#This Row],[Overall_Score]]&gt;=90,"Passed","Not Passed")</f>
        <v>Passed</v>
      </c>
      <c r="O41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41" s="7">
        <f>Performance[[#This Row],[Bonus_%]]*Performance[[#This Row],[Monthly_Salary]]</f>
        <v>8800</v>
      </c>
    </row>
    <row r="42" spans="1:16" x14ac:dyDescent="0.25">
      <c r="A42" s="17" t="s">
        <v>41</v>
      </c>
      <c r="B42" s="4" t="s">
        <v>534</v>
      </c>
      <c r="C42" s="4" t="s">
        <v>535</v>
      </c>
      <c r="D42" s="31">
        <v>56000</v>
      </c>
      <c r="E42" s="31">
        <v>740000</v>
      </c>
      <c r="F42" s="108">
        <v>617300</v>
      </c>
      <c r="G42" s="7">
        <v>74.8</v>
      </c>
      <c r="H42" s="7">
        <v>94.1</v>
      </c>
      <c r="I42" s="7">
        <v>64.7</v>
      </c>
      <c r="J42" s="7">
        <v>81.8</v>
      </c>
      <c r="K42" s="58">
        <v>80.599999999999994</v>
      </c>
      <c r="L42" s="7">
        <f>Performance[[#This Row],[Actual_Result]]/Performance[[#This Row],[Performance_Target]]</f>
        <v>0.83418918918918916</v>
      </c>
      <c r="M42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42" s="110" t="str">
        <f>IF(Performance[[#This Row],[Overall_Score]]&gt;=90,"Passed","Not Passed")</f>
        <v>Not Passed</v>
      </c>
      <c r="O42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42" s="7">
        <f>Performance[[#This Row],[Bonus_%]]*Performance[[#This Row],[Monthly_Salary]]</f>
        <v>0</v>
      </c>
    </row>
    <row r="43" spans="1:16" x14ac:dyDescent="0.25">
      <c r="A43" s="17" t="s">
        <v>367</v>
      </c>
      <c r="B43" s="4" t="s">
        <v>536</v>
      </c>
      <c r="C43" s="4" t="s">
        <v>535</v>
      </c>
      <c r="D43" s="31">
        <v>52000</v>
      </c>
      <c r="E43" s="31">
        <v>830000</v>
      </c>
      <c r="F43" s="108">
        <v>851200</v>
      </c>
      <c r="G43" s="7">
        <v>98.1</v>
      </c>
      <c r="H43" s="7">
        <v>95.6</v>
      </c>
      <c r="I43" s="7">
        <v>86.3</v>
      </c>
      <c r="J43" s="7">
        <v>93.3</v>
      </c>
      <c r="K43" s="58">
        <v>98</v>
      </c>
      <c r="L43" s="7">
        <f>Performance[[#This Row],[Actual_Result]]/Performance[[#This Row],[Performance_Target]]</f>
        <v>1.0255421686746988</v>
      </c>
      <c r="M4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43" s="110" t="str">
        <f>IF(Performance[[#This Row],[Overall_Score]]&gt;=90,"Passed","Not Passed")</f>
        <v>Passed</v>
      </c>
      <c r="O4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43" s="7">
        <f>Performance[[#This Row],[Bonus_%]]*Performance[[#This Row],[Monthly_Salary]]</f>
        <v>5200</v>
      </c>
    </row>
    <row r="44" spans="1:16" x14ac:dyDescent="0.25">
      <c r="A44" s="17" t="s">
        <v>307</v>
      </c>
      <c r="B44" s="4" t="s">
        <v>537</v>
      </c>
      <c r="C44" s="4" t="s">
        <v>535</v>
      </c>
      <c r="D44" s="31">
        <v>60000</v>
      </c>
      <c r="E44" s="31">
        <v>920000</v>
      </c>
      <c r="F44" s="108">
        <v>741900</v>
      </c>
      <c r="G44" s="7">
        <v>80.5</v>
      </c>
      <c r="H44" s="7">
        <v>100</v>
      </c>
      <c r="I44" s="7">
        <v>79.2</v>
      </c>
      <c r="J44" s="7">
        <v>92.9</v>
      </c>
      <c r="K44" s="58">
        <v>84.2</v>
      </c>
      <c r="L44" s="7">
        <f>Performance[[#This Row],[Actual_Result]]/Performance[[#This Row],[Performance_Target]]</f>
        <v>0.80641304347826082</v>
      </c>
      <c r="M4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44" s="110" t="str">
        <f>IF(Performance[[#This Row],[Overall_Score]]&gt;=90,"Passed","Not Passed")</f>
        <v>Not Passed</v>
      </c>
      <c r="O4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44" s="7">
        <f>Performance[[#This Row],[Bonus_%]]*Performance[[#This Row],[Monthly_Salary]]</f>
        <v>0</v>
      </c>
    </row>
    <row r="45" spans="1:16" x14ac:dyDescent="0.25">
      <c r="A45" s="17" t="s">
        <v>114</v>
      </c>
      <c r="B45" s="4" t="s">
        <v>538</v>
      </c>
      <c r="C45" s="4" t="s">
        <v>535</v>
      </c>
      <c r="D45" s="31">
        <v>51500</v>
      </c>
      <c r="E45" s="31">
        <v>670000</v>
      </c>
      <c r="F45" s="108">
        <v>772800</v>
      </c>
      <c r="G45" s="7">
        <v>68.7</v>
      </c>
      <c r="H45" s="7">
        <v>95.2</v>
      </c>
      <c r="I45" s="7">
        <v>81.5</v>
      </c>
      <c r="J45" s="7">
        <v>86.6</v>
      </c>
      <c r="K45" s="58">
        <v>96.3</v>
      </c>
      <c r="L45" s="7">
        <f>Performance[[#This Row],[Actual_Result]]/Performance[[#This Row],[Performance_Target]]</f>
        <v>1.1534328358208956</v>
      </c>
      <c r="M4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45" s="110" t="str">
        <f>IF(Performance[[#This Row],[Overall_Score]]&gt;=90,"Passed","Not Passed")</f>
        <v>Passed</v>
      </c>
      <c r="O4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45" s="7">
        <f>Performance[[#This Row],[Bonus_%]]*Performance[[#This Row],[Monthly_Salary]]</f>
        <v>7725</v>
      </c>
    </row>
    <row r="46" spans="1:16" x14ac:dyDescent="0.25">
      <c r="A46" s="17" t="s">
        <v>130</v>
      </c>
      <c r="B46" s="4" t="s">
        <v>539</v>
      </c>
      <c r="C46" s="4" t="s">
        <v>535</v>
      </c>
      <c r="D46" s="31">
        <v>37500</v>
      </c>
      <c r="E46" s="31">
        <v>690000</v>
      </c>
      <c r="F46" s="108">
        <v>582500</v>
      </c>
      <c r="G46" s="7">
        <v>71.900000000000006</v>
      </c>
      <c r="H46" s="7">
        <v>92.1</v>
      </c>
      <c r="I46" s="7">
        <v>79</v>
      </c>
      <c r="J46" s="7">
        <v>93.5</v>
      </c>
      <c r="K46" s="58">
        <v>83.5</v>
      </c>
      <c r="L46" s="7">
        <f>Performance[[#This Row],[Actual_Result]]/Performance[[#This Row],[Performance_Target]]</f>
        <v>0.84420289855072461</v>
      </c>
      <c r="M46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46" s="110" t="str">
        <f>IF(Performance[[#This Row],[Overall_Score]]&gt;=90,"Passed","Not Passed")</f>
        <v>Not Passed</v>
      </c>
      <c r="O46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46" s="7">
        <f>Performance[[#This Row],[Bonus_%]]*Performance[[#This Row],[Monthly_Salary]]</f>
        <v>0</v>
      </c>
    </row>
    <row r="47" spans="1:16" x14ac:dyDescent="0.25">
      <c r="A47" s="17" t="s">
        <v>141</v>
      </c>
      <c r="B47" s="4" t="s">
        <v>540</v>
      </c>
      <c r="C47" s="4" t="s">
        <v>535</v>
      </c>
      <c r="D47" s="31">
        <v>35500</v>
      </c>
      <c r="E47" s="31">
        <v>790000</v>
      </c>
      <c r="F47" s="108">
        <v>1032600</v>
      </c>
      <c r="G47" s="7">
        <v>94.6</v>
      </c>
      <c r="H47" s="7">
        <v>97.4</v>
      </c>
      <c r="I47" s="7">
        <v>70</v>
      </c>
      <c r="J47" s="7">
        <v>80.7</v>
      </c>
      <c r="K47" s="58">
        <v>100</v>
      </c>
      <c r="L47" s="7">
        <f>Performance[[#This Row],[Actual_Result]]/Performance[[#This Row],[Performance_Target]]</f>
        <v>1.3070886075949366</v>
      </c>
      <c r="M47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47" s="110" t="str">
        <f>IF(Performance[[#This Row],[Overall_Score]]&gt;=90,"Passed","Not Passed")</f>
        <v>Passed</v>
      </c>
      <c r="O47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47" s="7">
        <f>Performance[[#This Row],[Bonus_%]]*Performance[[#This Row],[Monthly_Salary]]</f>
        <v>7100</v>
      </c>
    </row>
    <row r="48" spans="1:16" x14ac:dyDescent="0.25">
      <c r="A48" s="17" t="s">
        <v>181</v>
      </c>
      <c r="B48" s="4" t="s">
        <v>541</v>
      </c>
      <c r="C48" s="4" t="s">
        <v>535</v>
      </c>
      <c r="D48" s="31">
        <v>62500</v>
      </c>
      <c r="E48" s="31">
        <v>680000</v>
      </c>
      <c r="F48" s="108">
        <v>692100</v>
      </c>
      <c r="G48" s="7">
        <v>76.3</v>
      </c>
      <c r="H48" s="7">
        <v>96.3</v>
      </c>
      <c r="I48" s="7">
        <v>87.2</v>
      </c>
      <c r="J48" s="7">
        <v>88.3</v>
      </c>
      <c r="K48" s="58">
        <v>92.7</v>
      </c>
      <c r="L48" s="7">
        <f>Performance[[#This Row],[Actual_Result]]/Performance[[#This Row],[Performance_Target]]</f>
        <v>1.0177941176470588</v>
      </c>
      <c r="M48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48" s="110" t="str">
        <f>IF(Performance[[#This Row],[Overall_Score]]&gt;=90,"Passed","Not Passed")</f>
        <v>Passed</v>
      </c>
      <c r="O48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48" s="7">
        <f>Performance[[#This Row],[Bonus_%]]*Performance[[#This Row],[Monthly_Salary]]</f>
        <v>6250</v>
      </c>
    </row>
    <row r="49" spans="1:16" x14ac:dyDescent="0.25">
      <c r="A49" s="17" t="s">
        <v>127</v>
      </c>
      <c r="B49" s="4" t="s">
        <v>542</v>
      </c>
      <c r="C49" s="4" t="s">
        <v>535</v>
      </c>
      <c r="D49" s="31">
        <v>45000</v>
      </c>
      <c r="E49" s="31">
        <v>670000</v>
      </c>
      <c r="F49" s="108">
        <v>780200</v>
      </c>
      <c r="G49" s="7">
        <v>73.900000000000006</v>
      </c>
      <c r="H49" s="7">
        <v>97.7</v>
      </c>
      <c r="I49" s="7">
        <v>73</v>
      </c>
      <c r="J49" s="7">
        <v>76.5</v>
      </c>
      <c r="K49" s="58">
        <v>95.7</v>
      </c>
      <c r="L49" s="7">
        <f>Performance[[#This Row],[Actual_Result]]/Performance[[#This Row],[Performance_Target]]</f>
        <v>1.1644776119402984</v>
      </c>
      <c r="M49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49" s="110" t="str">
        <f>IF(Performance[[#This Row],[Overall_Score]]&gt;=90,"Passed","Not Passed")</f>
        <v>Passed</v>
      </c>
      <c r="O49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49" s="7">
        <f>Performance[[#This Row],[Bonus_%]]*Performance[[#This Row],[Monthly_Salary]]</f>
        <v>6750</v>
      </c>
    </row>
    <row r="50" spans="1:16" x14ac:dyDescent="0.25">
      <c r="A50" s="17" t="s">
        <v>345</v>
      </c>
      <c r="B50" s="4" t="s">
        <v>543</v>
      </c>
      <c r="C50" s="4" t="s">
        <v>535</v>
      </c>
      <c r="D50" s="31">
        <v>37000</v>
      </c>
      <c r="E50" s="31">
        <v>660000</v>
      </c>
      <c r="F50" s="108">
        <v>710000</v>
      </c>
      <c r="G50" s="7">
        <v>92.9</v>
      </c>
      <c r="H50" s="7">
        <v>96</v>
      </c>
      <c r="I50" s="7">
        <v>80.2</v>
      </c>
      <c r="J50" s="7">
        <v>86.5</v>
      </c>
      <c r="K50" s="58">
        <v>97.6</v>
      </c>
      <c r="L50" s="7">
        <f>Performance[[#This Row],[Actual_Result]]/Performance[[#This Row],[Performance_Target]]</f>
        <v>1.0757575757575757</v>
      </c>
      <c r="M50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50" s="110" t="str">
        <f>IF(Performance[[#This Row],[Overall_Score]]&gt;=90,"Passed","Not Passed")</f>
        <v>Passed</v>
      </c>
      <c r="O50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50" s="7">
        <f>Performance[[#This Row],[Bonus_%]]*Performance[[#This Row],[Monthly_Salary]]</f>
        <v>3700</v>
      </c>
    </row>
    <row r="51" spans="1:16" x14ac:dyDescent="0.25">
      <c r="A51" s="17" t="s">
        <v>544</v>
      </c>
      <c r="B51" s="4" t="s">
        <v>545</v>
      </c>
      <c r="C51" s="4" t="s">
        <v>535</v>
      </c>
      <c r="D51" s="31">
        <v>62500</v>
      </c>
      <c r="E51" s="31">
        <v>910000</v>
      </c>
      <c r="F51" s="108">
        <v>914100</v>
      </c>
      <c r="G51" s="7">
        <v>71.900000000000006</v>
      </c>
      <c r="H51" s="7">
        <v>89</v>
      </c>
      <c r="I51" s="7">
        <v>79.2</v>
      </c>
      <c r="J51" s="7">
        <v>84.6</v>
      </c>
      <c r="K51" s="58">
        <v>89.1</v>
      </c>
      <c r="L51" s="7">
        <f>Performance[[#This Row],[Actual_Result]]/Performance[[#This Row],[Performance_Target]]</f>
        <v>1.0045054945054945</v>
      </c>
      <c r="M51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51" s="110" t="str">
        <f>IF(Performance[[#This Row],[Overall_Score]]&gt;=90,"Passed","Not Passed")</f>
        <v>Not Passed</v>
      </c>
      <c r="O51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51" s="7">
        <f>Performance[[#This Row],[Bonus_%]]*Performance[[#This Row],[Monthly_Salary]]</f>
        <v>6250</v>
      </c>
    </row>
    <row r="52" spans="1:16" x14ac:dyDescent="0.25">
      <c r="A52" s="17" t="s">
        <v>154</v>
      </c>
      <c r="B52" s="4" t="s">
        <v>546</v>
      </c>
      <c r="C52" s="4" t="s">
        <v>547</v>
      </c>
      <c r="D52" s="31">
        <v>44500</v>
      </c>
      <c r="E52" s="31">
        <v>840000</v>
      </c>
      <c r="F52" s="108">
        <v>824900</v>
      </c>
      <c r="G52" s="7">
        <v>88.1</v>
      </c>
      <c r="H52" s="7">
        <v>93.1</v>
      </c>
      <c r="I52" s="7">
        <v>85.6</v>
      </c>
      <c r="J52" s="7">
        <v>82.8</v>
      </c>
      <c r="K52" s="58">
        <v>92.1</v>
      </c>
      <c r="L52" s="7">
        <f>Performance[[#This Row],[Actual_Result]]/Performance[[#This Row],[Performance_Target]]</f>
        <v>0.98202380952380952</v>
      </c>
      <c r="M52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52" s="110" t="str">
        <f>IF(Performance[[#This Row],[Overall_Score]]&gt;=90,"Passed","Not Passed")</f>
        <v>Passed</v>
      </c>
      <c r="O52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52" s="7">
        <f>Performance[[#This Row],[Bonus_%]]*Performance[[#This Row],[Monthly_Salary]]</f>
        <v>2225</v>
      </c>
    </row>
    <row r="53" spans="1:16" x14ac:dyDescent="0.25">
      <c r="A53" s="17" t="s">
        <v>548</v>
      </c>
      <c r="B53" s="4" t="s">
        <v>549</v>
      </c>
      <c r="C53" s="4" t="s">
        <v>547</v>
      </c>
      <c r="D53" s="31">
        <v>41500</v>
      </c>
      <c r="E53" s="31">
        <v>730000</v>
      </c>
      <c r="F53" s="108">
        <v>955000</v>
      </c>
      <c r="G53" s="7">
        <v>82.7</v>
      </c>
      <c r="H53" s="7">
        <v>100</v>
      </c>
      <c r="I53" s="7">
        <v>83.5</v>
      </c>
      <c r="J53" s="7">
        <v>82.3</v>
      </c>
      <c r="K53" s="58">
        <v>100</v>
      </c>
      <c r="L53" s="7">
        <f>Performance[[#This Row],[Actual_Result]]/Performance[[#This Row],[Performance_Target]]</f>
        <v>1.3082191780821917</v>
      </c>
      <c r="M5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53" s="110" t="str">
        <f>IF(Performance[[#This Row],[Overall_Score]]&gt;=90,"Passed","Not Passed")</f>
        <v>Passed</v>
      </c>
      <c r="O5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53" s="7">
        <f>Performance[[#This Row],[Bonus_%]]*Performance[[#This Row],[Monthly_Salary]]</f>
        <v>8300</v>
      </c>
    </row>
    <row r="54" spans="1:16" x14ac:dyDescent="0.25">
      <c r="A54" s="17" t="s">
        <v>550</v>
      </c>
      <c r="B54" s="4" t="s">
        <v>551</v>
      </c>
      <c r="C54" s="4" t="s">
        <v>547</v>
      </c>
      <c r="D54" s="31">
        <v>30000</v>
      </c>
      <c r="E54" s="31">
        <v>610000</v>
      </c>
      <c r="F54" s="108">
        <v>499000</v>
      </c>
      <c r="G54" s="7">
        <v>69</v>
      </c>
      <c r="H54" s="7">
        <v>90</v>
      </c>
      <c r="I54" s="7">
        <v>71.2</v>
      </c>
      <c r="J54" s="7">
        <v>87.2</v>
      </c>
      <c r="K54" s="58">
        <v>79.8</v>
      </c>
      <c r="L54" s="7">
        <f>Performance[[#This Row],[Actual_Result]]/Performance[[#This Row],[Performance_Target]]</f>
        <v>0.81803278688524594</v>
      </c>
      <c r="M5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54" s="110" t="str">
        <f>IF(Performance[[#This Row],[Overall_Score]]&gt;=90,"Passed","Not Passed")</f>
        <v>Not Passed</v>
      </c>
      <c r="O5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54" s="7">
        <f>Performance[[#This Row],[Bonus_%]]*Performance[[#This Row],[Monthly_Salary]]</f>
        <v>0</v>
      </c>
    </row>
    <row r="55" spans="1:16" x14ac:dyDescent="0.25">
      <c r="A55" s="17" t="s">
        <v>233</v>
      </c>
      <c r="B55" s="4" t="s">
        <v>552</v>
      </c>
      <c r="C55" s="4" t="s">
        <v>547</v>
      </c>
      <c r="D55" s="31">
        <v>46500</v>
      </c>
      <c r="E55" s="31">
        <v>760000</v>
      </c>
      <c r="F55" s="108">
        <v>672800</v>
      </c>
      <c r="G55" s="7">
        <v>83.7</v>
      </c>
      <c r="H55" s="7">
        <v>99.1</v>
      </c>
      <c r="I55" s="7">
        <v>79.099999999999994</v>
      </c>
      <c r="J55" s="7">
        <v>99</v>
      </c>
      <c r="K55" s="58">
        <v>89.2</v>
      </c>
      <c r="L55" s="7">
        <f>Performance[[#This Row],[Actual_Result]]/Performance[[#This Row],[Performance_Target]]</f>
        <v>0.88526315789473686</v>
      </c>
      <c r="M5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55" s="110" t="str">
        <f>IF(Performance[[#This Row],[Overall_Score]]&gt;=90,"Passed","Not Passed")</f>
        <v>Not Passed</v>
      </c>
      <c r="O5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55" s="7">
        <f>Performance[[#This Row],[Bonus_%]]*Performance[[#This Row],[Monthly_Salary]]</f>
        <v>0</v>
      </c>
    </row>
    <row r="56" spans="1:16" x14ac:dyDescent="0.25">
      <c r="A56" s="17" t="s">
        <v>139</v>
      </c>
      <c r="B56" s="4" t="s">
        <v>553</v>
      </c>
      <c r="C56" s="4" t="s">
        <v>547</v>
      </c>
      <c r="D56" s="31">
        <v>43000</v>
      </c>
      <c r="E56" s="31">
        <v>840000</v>
      </c>
      <c r="F56" s="108">
        <v>645400</v>
      </c>
      <c r="G56" s="7">
        <v>80.599999999999994</v>
      </c>
      <c r="H56" s="7">
        <v>91.8</v>
      </c>
      <c r="I56" s="7">
        <v>89.4</v>
      </c>
      <c r="J56" s="7">
        <v>66.099999999999994</v>
      </c>
      <c r="K56" s="58">
        <v>78.7</v>
      </c>
      <c r="L56" s="7">
        <f>Performance[[#This Row],[Actual_Result]]/Performance[[#This Row],[Performance_Target]]</f>
        <v>0.76833333333333331</v>
      </c>
      <c r="M56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56" s="110" t="str">
        <f>IF(Performance[[#This Row],[Overall_Score]]&gt;=90,"Passed","Not Passed")</f>
        <v>Not Passed</v>
      </c>
      <c r="O56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56" s="7">
        <f>Performance[[#This Row],[Bonus_%]]*Performance[[#This Row],[Monthly_Salary]]</f>
        <v>0</v>
      </c>
    </row>
    <row r="57" spans="1:16" x14ac:dyDescent="0.25">
      <c r="A57" s="17" t="s">
        <v>213</v>
      </c>
      <c r="B57" s="4" t="s">
        <v>554</v>
      </c>
      <c r="C57" s="4" t="s">
        <v>547</v>
      </c>
      <c r="D57" s="31">
        <v>34000</v>
      </c>
      <c r="E57" s="31">
        <v>750000</v>
      </c>
      <c r="F57" s="108">
        <v>540200</v>
      </c>
      <c r="G57" s="7">
        <v>81</v>
      </c>
      <c r="H57" s="7">
        <v>100</v>
      </c>
      <c r="I57" s="7">
        <v>82.3</v>
      </c>
      <c r="J57" s="7">
        <v>73.2</v>
      </c>
      <c r="K57" s="58">
        <v>77.8</v>
      </c>
      <c r="L57" s="7">
        <f>Performance[[#This Row],[Actual_Result]]/Performance[[#This Row],[Performance_Target]]</f>
        <v>0.72026666666666672</v>
      </c>
      <c r="M57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57" s="110" t="str">
        <f>IF(Performance[[#This Row],[Overall_Score]]&gt;=90,"Passed","Not Passed")</f>
        <v>Not Passed</v>
      </c>
      <c r="O57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57" s="7">
        <f>Performance[[#This Row],[Bonus_%]]*Performance[[#This Row],[Monthly_Salary]]</f>
        <v>0</v>
      </c>
    </row>
    <row r="58" spans="1:16" x14ac:dyDescent="0.25">
      <c r="A58" s="17" t="s">
        <v>278</v>
      </c>
      <c r="B58" s="4" t="s">
        <v>555</v>
      </c>
      <c r="C58" s="4" t="s">
        <v>547</v>
      </c>
      <c r="D58" s="31">
        <v>41000</v>
      </c>
      <c r="E58" s="31">
        <v>830000</v>
      </c>
      <c r="F58" s="108">
        <v>634500</v>
      </c>
      <c r="G58" s="7">
        <v>97.1</v>
      </c>
      <c r="H58" s="7">
        <v>91.5</v>
      </c>
      <c r="I58" s="7">
        <v>70.599999999999994</v>
      </c>
      <c r="J58" s="7">
        <v>95.8</v>
      </c>
      <c r="K58" s="58">
        <v>84.4</v>
      </c>
      <c r="L58" s="7">
        <f>Performance[[#This Row],[Actual_Result]]/Performance[[#This Row],[Performance_Target]]</f>
        <v>0.76445783132530121</v>
      </c>
      <c r="M58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58" s="110" t="str">
        <f>IF(Performance[[#This Row],[Overall_Score]]&gt;=90,"Passed","Not Passed")</f>
        <v>Not Passed</v>
      </c>
      <c r="O58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58" s="7">
        <f>Performance[[#This Row],[Bonus_%]]*Performance[[#This Row],[Monthly_Salary]]</f>
        <v>0</v>
      </c>
    </row>
    <row r="59" spans="1:16" x14ac:dyDescent="0.25">
      <c r="A59" s="17" t="s">
        <v>334</v>
      </c>
      <c r="B59" s="4" t="s">
        <v>556</v>
      </c>
      <c r="C59" s="4" t="s">
        <v>547</v>
      </c>
      <c r="D59" s="31">
        <v>32000</v>
      </c>
      <c r="E59" s="31">
        <v>710000</v>
      </c>
      <c r="F59" s="108">
        <v>825000</v>
      </c>
      <c r="G59" s="7">
        <v>93.5</v>
      </c>
      <c r="H59" s="7">
        <v>90.2</v>
      </c>
      <c r="I59" s="7">
        <v>64.7</v>
      </c>
      <c r="J59" s="7">
        <v>85.1</v>
      </c>
      <c r="K59" s="58">
        <v>99.2</v>
      </c>
      <c r="L59" s="7">
        <f>Performance[[#This Row],[Actual_Result]]/Performance[[#This Row],[Performance_Target]]</f>
        <v>1.1619718309859155</v>
      </c>
      <c r="M59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59" s="110" t="str">
        <f>IF(Performance[[#This Row],[Overall_Score]]&gt;=90,"Passed","Not Passed")</f>
        <v>Passed</v>
      </c>
      <c r="O59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59" s="7">
        <f>Performance[[#This Row],[Bonus_%]]*Performance[[#This Row],[Monthly_Salary]]</f>
        <v>4800</v>
      </c>
    </row>
    <row r="60" spans="1:16" x14ac:dyDescent="0.25">
      <c r="A60" s="17" t="s">
        <v>135</v>
      </c>
      <c r="B60" s="4" t="s">
        <v>557</v>
      </c>
      <c r="C60" s="4" t="s">
        <v>478</v>
      </c>
      <c r="D60" s="31">
        <v>37500</v>
      </c>
      <c r="E60" s="31">
        <v>910000</v>
      </c>
      <c r="F60" s="108">
        <v>946700</v>
      </c>
      <c r="G60" s="7">
        <v>85.3</v>
      </c>
      <c r="H60" s="7">
        <v>99.9</v>
      </c>
      <c r="I60" s="7">
        <v>62.7</v>
      </c>
      <c r="J60" s="7">
        <v>90.9</v>
      </c>
      <c r="K60" s="58">
        <v>93.8</v>
      </c>
      <c r="L60" s="7">
        <f>Performance[[#This Row],[Actual_Result]]/Performance[[#This Row],[Performance_Target]]</f>
        <v>1.0403296703296703</v>
      </c>
      <c r="M60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60" s="110" t="str">
        <f>IF(Performance[[#This Row],[Overall_Score]]&gt;=90,"Passed","Not Passed")</f>
        <v>Passed</v>
      </c>
      <c r="O60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60" s="7">
        <f>Performance[[#This Row],[Bonus_%]]*Performance[[#This Row],[Monthly_Salary]]</f>
        <v>3750</v>
      </c>
    </row>
    <row r="61" spans="1:16" x14ac:dyDescent="0.25">
      <c r="A61" s="17" t="s">
        <v>170</v>
      </c>
      <c r="B61" s="4" t="s">
        <v>558</v>
      </c>
      <c r="C61" s="4" t="s">
        <v>478</v>
      </c>
      <c r="D61" s="31">
        <v>32500</v>
      </c>
      <c r="E61" s="31">
        <v>910000</v>
      </c>
      <c r="F61" s="108">
        <v>712200</v>
      </c>
      <c r="G61" s="7">
        <v>89.7</v>
      </c>
      <c r="H61" s="7">
        <v>92.1</v>
      </c>
      <c r="I61" s="7">
        <v>71.900000000000006</v>
      </c>
      <c r="J61" s="7">
        <v>79.099999999999994</v>
      </c>
      <c r="K61" s="58">
        <v>81.400000000000006</v>
      </c>
      <c r="L61" s="7">
        <f>Performance[[#This Row],[Actual_Result]]/Performance[[#This Row],[Performance_Target]]</f>
        <v>0.78263736263736261</v>
      </c>
      <c r="M61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61" s="110" t="str">
        <f>IF(Performance[[#This Row],[Overall_Score]]&gt;=90,"Passed","Not Passed")</f>
        <v>Not Passed</v>
      </c>
      <c r="O61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61" s="7">
        <f>Performance[[#This Row],[Bonus_%]]*Performance[[#This Row],[Monthly_Salary]]</f>
        <v>0</v>
      </c>
    </row>
    <row r="62" spans="1:16" x14ac:dyDescent="0.25">
      <c r="A62" s="17" t="s">
        <v>230</v>
      </c>
      <c r="B62" s="4" t="s">
        <v>559</v>
      </c>
      <c r="C62" s="4" t="s">
        <v>478</v>
      </c>
      <c r="D62" s="31">
        <v>49000</v>
      </c>
      <c r="E62" s="31">
        <v>790000</v>
      </c>
      <c r="F62" s="108">
        <v>568600</v>
      </c>
      <c r="G62" s="7">
        <v>82.4</v>
      </c>
      <c r="H62" s="7">
        <v>90.9</v>
      </c>
      <c r="I62" s="7">
        <v>87.9</v>
      </c>
      <c r="J62" s="7">
        <v>89.1</v>
      </c>
      <c r="K62" s="58">
        <v>80.099999999999994</v>
      </c>
      <c r="L62" s="7">
        <f>Performance[[#This Row],[Actual_Result]]/Performance[[#This Row],[Performance_Target]]</f>
        <v>0.71974683544303797</v>
      </c>
      <c r="M62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62" s="110" t="str">
        <f>IF(Performance[[#This Row],[Overall_Score]]&gt;=90,"Passed","Not Passed")</f>
        <v>Not Passed</v>
      </c>
      <c r="O62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62" s="7">
        <f>Performance[[#This Row],[Bonus_%]]*Performance[[#This Row],[Monthly_Salary]]</f>
        <v>0</v>
      </c>
    </row>
    <row r="63" spans="1:16" x14ac:dyDescent="0.25">
      <c r="A63" s="17" t="s">
        <v>560</v>
      </c>
      <c r="B63" s="4" t="s">
        <v>561</v>
      </c>
      <c r="C63" s="4" t="s">
        <v>478</v>
      </c>
      <c r="D63" s="31">
        <v>30500</v>
      </c>
      <c r="E63" s="31">
        <v>860000</v>
      </c>
      <c r="F63" s="108">
        <v>1104100</v>
      </c>
      <c r="G63" s="7">
        <v>85.3</v>
      </c>
      <c r="H63" s="7">
        <v>96.1</v>
      </c>
      <c r="I63" s="7">
        <v>94</v>
      </c>
      <c r="J63" s="7">
        <v>79</v>
      </c>
      <c r="K63" s="58">
        <v>100</v>
      </c>
      <c r="L63" s="7">
        <f>Performance[[#This Row],[Actual_Result]]/Performance[[#This Row],[Performance_Target]]</f>
        <v>1.2838372093023256</v>
      </c>
      <c r="M6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63" s="110" t="str">
        <f>IF(Performance[[#This Row],[Overall_Score]]&gt;=90,"Passed","Not Passed")</f>
        <v>Passed</v>
      </c>
      <c r="O6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63" s="7">
        <f>Performance[[#This Row],[Bonus_%]]*Performance[[#This Row],[Monthly_Salary]]</f>
        <v>6100</v>
      </c>
    </row>
    <row r="64" spans="1:16" x14ac:dyDescent="0.25">
      <c r="A64" s="17" t="s">
        <v>201</v>
      </c>
      <c r="B64" s="4" t="s">
        <v>562</v>
      </c>
      <c r="C64" s="4" t="s">
        <v>478</v>
      </c>
      <c r="D64" s="31">
        <v>34500</v>
      </c>
      <c r="E64" s="31">
        <v>850000</v>
      </c>
      <c r="F64" s="108">
        <v>605300</v>
      </c>
      <c r="G64" s="7">
        <v>83.8</v>
      </c>
      <c r="H64" s="7">
        <v>88.3</v>
      </c>
      <c r="I64" s="7">
        <v>99</v>
      </c>
      <c r="J64" s="7">
        <v>95.6</v>
      </c>
      <c r="K64" s="58">
        <v>81.900000000000006</v>
      </c>
      <c r="L64" s="7">
        <f>Performance[[#This Row],[Actual_Result]]/Performance[[#This Row],[Performance_Target]]</f>
        <v>0.71211764705882352</v>
      </c>
      <c r="M6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64" s="110" t="str">
        <f>IF(Performance[[#This Row],[Overall_Score]]&gt;=90,"Passed","Not Passed")</f>
        <v>Not Passed</v>
      </c>
      <c r="O6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64" s="7">
        <f>Performance[[#This Row],[Bonus_%]]*Performance[[#This Row],[Monthly_Salary]]</f>
        <v>0</v>
      </c>
    </row>
    <row r="65" spans="1:16" x14ac:dyDescent="0.25">
      <c r="A65" s="17" t="s">
        <v>205</v>
      </c>
      <c r="B65" s="4" t="s">
        <v>563</v>
      </c>
      <c r="C65" s="4" t="s">
        <v>478</v>
      </c>
      <c r="D65" s="31">
        <v>33000</v>
      </c>
      <c r="E65" s="31">
        <v>910000</v>
      </c>
      <c r="F65" s="108">
        <v>1246300</v>
      </c>
      <c r="G65" s="7">
        <v>82.6</v>
      </c>
      <c r="H65" s="7">
        <v>96.2</v>
      </c>
      <c r="I65" s="7">
        <v>75.400000000000006</v>
      </c>
      <c r="J65" s="7">
        <v>91.1</v>
      </c>
      <c r="K65" s="58">
        <v>100</v>
      </c>
      <c r="L65" s="7">
        <f>Performance[[#This Row],[Actual_Result]]/Performance[[#This Row],[Performance_Target]]</f>
        <v>1.3695604395604395</v>
      </c>
      <c r="M6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65" s="110" t="str">
        <f>IF(Performance[[#This Row],[Overall_Score]]&gt;=90,"Passed","Not Passed")</f>
        <v>Passed</v>
      </c>
      <c r="O6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65" s="7">
        <f>Performance[[#This Row],[Bonus_%]]*Performance[[#This Row],[Monthly_Salary]]</f>
        <v>6600</v>
      </c>
    </row>
    <row r="66" spans="1:16" x14ac:dyDescent="0.25">
      <c r="A66" s="17" t="s">
        <v>564</v>
      </c>
      <c r="B66" s="4" t="s">
        <v>565</v>
      </c>
      <c r="C66" s="4" t="s">
        <v>478</v>
      </c>
      <c r="D66" s="31">
        <v>37000</v>
      </c>
      <c r="E66" s="31">
        <v>760000</v>
      </c>
      <c r="F66" s="108">
        <v>578500</v>
      </c>
      <c r="G66" s="7">
        <v>59.1</v>
      </c>
      <c r="H66" s="7">
        <v>90.8</v>
      </c>
      <c r="I66" s="7">
        <v>65.400000000000006</v>
      </c>
      <c r="J66" s="7">
        <v>95.8</v>
      </c>
      <c r="K66" s="58">
        <v>76.099999999999994</v>
      </c>
      <c r="L66" s="7">
        <f>Performance[[#This Row],[Actual_Result]]/Performance[[#This Row],[Performance_Target]]</f>
        <v>0.7611842105263158</v>
      </c>
      <c r="M66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66" s="110" t="str">
        <f>IF(Performance[[#This Row],[Overall_Score]]&gt;=90,"Passed","Not Passed")</f>
        <v>Not Passed</v>
      </c>
      <c r="O66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66" s="7">
        <f>Performance[[#This Row],[Bonus_%]]*Performance[[#This Row],[Monthly_Salary]]</f>
        <v>0</v>
      </c>
    </row>
    <row r="67" spans="1:16" x14ac:dyDescent="0.25">
      <c r="A67" s="17" t="s">
        <v>119</v>
      </c>
      <c r="B67" s="4" t="s">
        <v>566</v>
      </c>
      <c r="C67" s="4" t="s">
        <v>478</v>
      </c>
      <c r="D67" s="31">
        <v>47500</v>
      </c>
      <c r="E67" s="31">
        <v>680000</v>
      </c>
      <c r="F67" s="108">
        <v>888600</v>
      </c>
      <c r="G67" s="7">
        <v>69.400000000000006</v>
      </c>
      <c r="H67" s="7">
        <v>99.2</v>
      </c>
      <c r="I67" s="7">
        <v>89.5</v>
      </c>
      <c r="J67" s="7">
        <v>71.400000000000006</v>
      </c>
      <c r="K67" s="58">
        <v>100</v>
      </c>
      <c r="L67" s="7">
        <f>Performance[[#This Row],[Actual_Result]]/Performance[[#This Row],[Performance_Target]]</f>
        <v>1.3067647058823531</v>
      </c>
      <c r="M67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67" s="110" t="str">
        <f>IF(Performance[[#This Row],[Overall_Score]]&gt;=90,"Passed","Not Passed")</f>
        <v>Passed</v>
      </c>
      <c r="O67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67" s="7">
        <f>Performance[[#This Row],[Bonus_%]]*Performance[[#This Row],[Monthly_Salary]]</f>
        <v>9500</v>
      </c>
    </row>
    <row r="68" spans="1:16" x14ac:dyDescent="0.25">
      <c r="A68" s="17" t="s">
        <v>191</v>
      </c>
      <c r="B68" s="4" t="s">
        <v>567</v>
      </c>
      <c r="C68" s="4" t="s">
        <v>478</v>
      </c>
      <c r="D68" s="31">
        <v>43500</v>
      </c>
      <c r="E68" s="31">
        <v>910000</v>
      </c>
      <c r="F68" s="108">
        <v>827900</v>
      </c>
      <c r="G68" s="7">
        <v>76.8</v>
      </c>
      <c r="H68" s="7">
        <v>97</v>
      </c>
      <c r="I68" s="7">
        <v>67.7</v>
      </c>
      <c r="J68" s="7">
        <v>83.2</v>
      </c>
      <c r="K68" s="58">
        <v>85.3</v>
      </c>
      <c r="L68" s="7">
        <f>Performance[[#This Row],[Actual_Result]]/Performance[[#This Row],[Performance_Target]]</f>
        <v>0.90978021978021983</v>
      </c>
      <c r="M68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68" s="110" t="str">
        <f>IF(Performance[[#This Row],[Overall_Score]]&gt;=90,"Passed","Not Passed")</f>
        <v>Not Passed</v>
      </c>
      <c r="O68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68" s="7">
        <f>Performance[[#This Row],[Bonus_%]]*Performance[[#This Row],[Monthly_Salary]]</f>
        <v>2175</v>
      </c>
    </row>
    <row r="69" spans="1:16" x14ac:dyDescent="0.25">
      <c r="A69" s="17" t="s">
        <v>239</v>
      </c>
      <c r="B69" s="4" t="s">
        <v>568</v>
      </c>
      <c r="C69" s="4" t="s">
        <v>478</v>
      </c>
      <c r="D69" s="31">
        <v>39000</v>
      </c>
      <c r="E69" s="31">
        <v>740000</v>
      </c>
      <c r="F69" s="108">
        <v>633800</v>
      </c>
      <c r="G69" s="7">
        <v>86.3</v>
      </c>
      <c r="H69" s="7">
        <v>93.1</v>
      </c>
      <c r="I69" s="7">
        <v>74.599999999999994</v>
      </c>
      <c r="J69" s="7">
        <v>82.3</v>
      </c>
      <c r="K69" s="58">
        <v>84.9</v>
      </c>
      <c r="L69" s="7">
        <f>Performance[[#This Row],[Actual_Result]]/Performance[[#This Row],[Performance_Target]]</f>
        <v>0.85648648648648651</v>
      </c>
      <c r="M69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69" s="110" t="str">
        <f>IF(Performance[[#This Row],[Overall_Score]]&gt;=90,"Passed","Not Passed")</f>
        <v>Not Passed</v>
      </c>
      <c r="O69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69" s="7">
        <f>Performance[[#This Row],[Bonus_%]]*Performance[[#This Row],[Monthly_Salary]]</f>
        <v>0</v>
      </c>
    </row>
    <row r="70" spans="1:16" x14ac:dyDescent="0.25">
      <c r="A70" s="17" t="s">
        <v>31</v>
      </c>
      <c r="B70" s="4" t="s">
        <v>569</v>
      </c>
      <c r="C70" s="4" t="s">
        <v>478</v>
      </c>
      <c r="D70" s="31">
        <v>44000</v>
      </c>
      <c r="E70" s="31">
        <v>770000</v>
      </c>
      <c r="F70" s="108">
        <v>1036800</v>
      </c>
      <c r="G70" s="7">
        <v>78.2</v>
      </c>
      <c r="H70" s="7">
        <v>89.8</v>
      </c>
      <c r="I70" s="7">
        <v>85.8</v>
      </c>
      <c r="J70" s="7">
        <v>82.9</v>
      </c>
      <c r="K70" s="58">
        <v>100</v>
      </c>
      <c r="L70" s="7">
        <f>Performance[[#This Row],[Actual_Result]]/Performance[[#This Row],[Performance_Target]]</f>
        <v>1.3464935064935064</v>
      </c>
      <c r="M70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70" s="110" t="str">
        <f>IF(Performance[[#This Row],[Overall_Score]]&gt;=90,"Passed","Not Passed")</f>
        <v>Passed</v>
      </c>
      <c r="O70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70" s="7">
        <f>Performance[[#This Row],[Bonus_%]]*Performance[[#This Row],[Monthly_Salary]]</f>
        <v>8800</v>
      </c>
    </row>
    <row r="71" spans="1:16" x14ac:dyDescent="0.25">
      <c r="A71" s="17" t="s">
        <v>177</v>
      </c>
      <c r="B71" s="4" t="s">
        <v>570</v>
      </c>
      <c r="C71" s="4" t="s">
        <v>478</v>
      </c>
      <c r="D71" s="31">
        <v>44500</v>
      </c>
      <c r="E71" s="31">
        <v>670000</v>
      </c>
      <c r="F71" s="108">
        <v>485900</v>
      </c>
      <c r="G71" s="7">
        <v>99</v>
      </c>
      <c r="H71" s="7">
        <v>92.6</v>
      </c>
      <c r="I71" s="7">
        <v>76.2</v>
      </c>
      <c r="J71" s="7">
        <v>85.3</v>
      </c>
      <c r="K71" s="58">
        <v>82.1</v>
      </c>
      <c r="L71" s="7">
        <f>Performance[[#This Row],[Actual_Result]]/Performance[[#This Row],[Performance_Target]]</f>
        <v>0.72522388059701492</v>
      </c>
      <c r="M71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71" s="110" t="str">
        <f>IF(Performance[[#This Row],[Overall_Score]]&gt;=90,"Passed","Not Passed")</f>
        <v>Not Passed</v>
      </c>
      <c r="O71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71" s="7">
        <f>Performance[[#This Row],[Bonus_%]]*Performance[[#This Row],[Monthly_Salary]]</f>
        <v>0</v>
      </c>
    </row>
    <row r="72" spans="1:16" x14ac:dyDescent="0.25">
      <c r="A72" s="17" t="s">
        <v>281</v>
      </c>
      <c r="B72" s="4" t="s">
        <v>571</v>
      </c>
      <c r="C72" s="4" t="s">
        <v>478</v>
      </c>
      <c r="D72" s="31">
        <v>44500</v>
      </c>
      <c r="E72" s="31">
        <v>990000</v>
      </c>
      <c r="F72" s="108">
        <v>1278500</v>
      </c>
      <c r="G72" s="7">
        <v>66.900000000000006</v>
      </c>
      <c r="H72" s="7">
        <v>95.1</v>
      </c>
      <c r="I72" s="7">
        <v>99</v>
      </c>
      <c r="J72" s="7">
        <v>85</v>
      </c>
      <c r="K72" s="58">
        <v>100</v>
      </c>
      <c r="L72" s="7">
        <f>Performance[[#This Row],[Actual_Result]]/Performance[[#This Row],[Performance_Target]]</f>
        <v>1.2914141414141413</v>
      </c>
      <c r="M72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72" s="110" t="str">
        <f>IF(Performance[[#This Row],[Overall_Score]]&gt;=90,"Passed","Not Passed")</f>
        <v>Passed</v>
      </c>
      <c r="O72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72" s="7">
        <f>Performance[[#This Row],[Bonus_%]]*Performance[[#This Row],[Monthly_Salary]]</f>
        <v>8900</v>
      </c>
    </row>
    <row r="73" spans="1:16" x14ac:dyDescent="0.25">
      <c r="A73" s="17" t="s">
        <v>572</v>
      </c>
      <c r="B73" s="4" t="s">
        <v>573</v>
      </c>
      <c r="C73" s="4" t="s">
        <v>478</v>
      </c>
      <c r="D73" s="31">
        <v>40000</v>
      </c>
      <c r="E73" s="31">
        <v>780000</v>
      </c>
      <c r="F73" s="108">
        <v>591000</v>
      </c>
      <c r="G73" s="7">
        <v>76.400000000000006</v>
      </c>
      <c r="H73" s="7">
        <v>94.8</v>
      </c>
      <c r="I73" s="7">
        <v>93.3</v>
      </c>
      <c r="J73" s="7">
        <v>81.3</v>
      </c>
      <c r="K73" s="58">
        <v>80.400000000000006</v>
      </c>
      <c r="L73" s="7">
        <f>Performance[[#This Row],[Actual_Result]]/Performance[[#This Row],[Performance_Target]]</f>
        <v>0.75769230769230766</v>
      </c>
      <c r="M7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73" s="110" t="str">
        <f>IF(Performance[[#This Row],[Overall_Score]]&gt;=90,"Passed","Not Passed")</f>
        <v>Not Passed</v>
      </c>
      <c r="O7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73" s="7">
        <f>Performance[[#This Row],[Bonus_%]]*Performance[[#This Row],[Monthly_Salary]]</f>
        <v>0</v>
      </c>
    </row>
    <row r="74" spans="1:16" x14ac:dyDescent="0.25">
      <c r="A74" s="17" t="s">
        <v>104</v>
      </c>
      <c r="B74" s="4" t="s">
        <v>574</v>
      </c>
      <c r="C74" s="4" t="s">
        <v>478</v>
      </c>
      <c r="D74" s="31">
        <v>37500</v>
      </c>
      <c r="E74" s="31">
        <v>940000</v>
      </c>
      <c r="F74" s="108">
        <v>1061100</v>
      </c>
      <c r="G74" s="7">
        <v>69.099999999999994</v>
      </c>
      <c r="H74" s="7">
        <v>88.2</v>
      </c>
      <c r="I74" s="7">
        <v>75.2</v>
      </c>
      <c r="J74" s="7">
        <v>95.5</v>
      </c>
      <c r="K74" s="58">
        <v>95.3</v>
      </c>
      <c r="L74" s="7">
        <f>Performance[[#This Row],[Actual_Result]]/Performance[[#This Row],[Performance_Target]]</f>
        <v>1.1288297872340425</v>
      </c>
      <c r="M7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74" s="110" t="str">
        <f>IF(Performance[[#This Row],[Overall_Score]]&gt;=90,"Passed","Not Passed")</f>
        <v>Passed</v>
      </c>
      <c r="O7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74" s="7">
        <f>Performance[[#This Row],[Bonus_%]]*Performance[[#This Row],[Monthly_Salary]]</f>
        <v>5625</v>
      </c>
    </row>
    <row r="75" spans="1:16" x14ac:dyDescent="0.25">
      <c r="A75" s="17" t="s">
        <v>124</v>
      </c>
      <c r="B75" s="4" t="s">
        <v>575</v>
      </c>
      <c r="C75" s="4" t="s">
        <v>478</v>
      </c>
      <c r="D75" s="31">
        <v>43000</v>
      </c>
      <c r="E75" s="31">
        <v>890000</v>
      </c>
      <c r="F75" s="108">
        <v>883200</v>
      </c>
      <c r="G75" s="7">
        <v>84.6</v>
      </c>
      <c r="H75" s="7">
        <v>95.1</v>
      </c>
      <c r="I75" s="7">
        <v>91.1</v>
      </c>
      <c r="J75" s="7">
        <v>79.099999999999994</v>
      </c>
      <c r="K75" s="58">
        <v>92.1</v>
      </c>
      <c r="L75" s="7">
        <f>Performance[[#This Row],[Actual_Result]]/Performance[[#This Row],[Performance_Target]]</f>
        <v>0.9923595505617977</v>
      </c>
      <c r="M7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75" s="110" t="str">
        <f>IF(Performance[[#This Row],[Overall_Score]]&gt;=90,"Passed","Not Passed")</f>
        <v>Passed</v>
      </c>
      <c r="O7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75" s="7">
        <f>Performance[[#This Row],[Bonus_%]]*Performance[[#This Row],[Monthly_Salary]]</f>
        <v>2150</v>
      </c>
    </row>
    <row r="76" spans="1:16" x14ac:dyDescent="0.25">
      <c r="A76" s="17" t="s">
        <v>322</v>
      </c>
      <c r="B76" s="4" t="s">
        <v>576</v>
      </c>
      <c r="C76" s="4" t="s">
        <v>478</v>
      </c>
      <c r="D76" s="31">
        <v>39000</v>
      </c>
      <c r="E76" s="31">
        <v>930000</v>
      </c>
      <c r="F76" s="108">
        <v>1026600</v>
      </c>
      <c r="G76" s="7">
        <v>74.5</v>
      </c>
      <c r="H76" s="7">
        <v>100</v>
      </c>
      <c r="I76" s="7">
        <v>72</v>
      </c>
      <c r="J76" s="7">
        <v>76.900000000000006</v>
      </c>
      <c r="K76" s="58">
        <v>93.3</v>
      </c>
      <c r="L76" s="7">
        <f>Performance[[#This Row],[Actual_Result]]/Performance[[#This Row],[Performance_Target]]</f>
        <v>1.1038709677419354</v>
      </c>
      <c r="M76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76" s="110" t="str">
        <f>IF(Performance[[#This Row],[Overall_Score]]&gt;=90,"Passed","Not Passed")</f>
        <v>Passed</v>
      </c>
      <c r="O76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76" s="7">
        <f>Performance[[#This Row],[Bonus_%]]*Performance[[#This Row],[Monthly_Salary]]</f>
        <v>5850</v>
      </c>
    </row>
    <row r="77" spans="1:16" x14ac:dyDescent="0.25">
      <c r="A77" s="17" t="s">
        <v>132</v>
      </c>
      <c r="B77" s="4" t="s">
        <v>577</v>
      </c>
      <c r="C77" s="4" t="s">
        <v>478</v>
      </c>
      <c r="D77" s="31">
        <v>36000</v>
      </c>
      <c r="E77" s="31">
        <v>760000</v>
      </c>
      <c r="F77" s="108">
        <v>820000</v>
      </c>
      <c r="G77" s="7">
        <v>82.7</v>
      </c>
      <c r="H77" s="7">
        <v>95.3</v>
      </c>
      <c r="I77" s="7">
        <v>82.3</v>
      </c>
      <c r="J77" s="7">
        <v>75.3</v>
      </c>
      <c r="K77" s="58">
        <v>94.1</v>
      </c>
      <c r="L77" s="7">
        <f>Performance[[#This Row],[Actual_Result]]/Performance[[#This Row],[Performance_Target]]</f>
        <v>1.0789473684210527</v>
      </c>
      <c r="M77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77" s="110" t="str">
        <f>IF(Performance[[#This Row],[Overall_Score]]&gt;=90,"Passed","Not Passed")</f>
        <v>Passed</v>
      </c>
      <c r="O77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77" s="7">
        <f>Performance[[#This Row],[Bonus_%]]*Performance[[#This Row],[Monthly_Salary]]</f>
        <v>3600</v>
      </c>
    </row>
    <row r="78" spans="1:16" x14ac:dyDescent="0.25">
      <c r="A78" s="17" t="s">
        <v>173</v>
      </c>
      <c r="B78" s="4" t="s">
        <v>578</v>
      </c>
      <c r="C78" s="4" t="s">
        <v>579</v>
      </c>
      <c r="D78" s="31">
        <v>31500</v>
      </c>
      <c r="E78" s="31">
        <v>570000</v>
      </c>
      <c r="F78" s="108">
        <v>724100</v>
      </c>
      <c r="G78" s="7">
        <v>90</v>
      </c>
      <c r="H78" s="7">
        <v>99.4</v>
      </c>
      <c r="I78" s="7">
        <v>74.7</v>
      </c>
      <c r="J78" s="7">
        <v>87.3</v>
      </c>
      <c r="K78" s="58">
        <v>100</v>
      </c>
      <c r="L78" s="7">
        <f>Performance[[#This Row],[Actual_Result]]/Performance[[#This Row],[Performance_Target]]</f>
        <v>1.2703508771929826</v>
      </c>
      <c r="M78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78" s="110" t="str">
        <f>IF(Performance[[#This Row],[Overall_Score]]&gt;=90,"Passed","Not Passed")</f>
        <v>Passed</v>
      </c>
      <c r="O78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78" s="7">
        <f>Performance[[#This Row],[Bonus_%]]*Performance[[#This Row],[Monthly_Salary]]</f>
        <v>6300</v>
      </c>
    </row>
    <row r="79" spans="1:16" x14ac:dyDescent="0.25">
      <c r="A79" s="17" t="s">
        <v>330</v>
      </c>
      <c r="B79" s="4" t="s">
        <v>580</v>
      </c>
      <c r="C79" s="4" t="s">
        <v>579</v>
      </c>
      <c r="D79" s="31">
        <v>33500</v>
      </c>
      <c r="E79" s="31">
        <v>530000</v>
      </c>
      <c r="F79" s="108">
        <v>538200</v>
      </c>
      <c r="G79" s="7">
        <v>92.2</v>
      </c>
      <c r="H79" s="7">
        <v>98.6</v>
      </c>
      <c r="I79" s="7">
        <v>81.900000000000006</v>
      </c>
      <c r="J79" s="7">
        <v>71.900000000000006</v>
      </c>
      <c r="K79" s="58">
        <v>93</v>
      </c>
      <c r="L79" s="7">
        <f>Performance[[#This Row],[Actual_Result]]/Performance[[#This Row],[Performance_Target]]</f>
        <v>1.0154716981132075</v>
      </c>
      <c r="M79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79" s="110" t="str">
        <f>IF(Performance[[#This Row],[Overall_Score]]&gt;=90,"Passed","Not Passed")</f>
        <v>Passed</v>
      </c>
      <c r="O79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79" s="7">
        <f>Performance[[#This Row],[Bonus_%]]*Performance[[#This Row],[Monthly_Salary]]</f>
        <v>3350</v>
      </c>
    </row>
    <row r="80" spans="1:16" x14ac:dyDescent="0.25">
      <c r="A80" s="17" t="s">
        <v>47</v>
      </c>
      <c r="B80" s="4" t="s">
        <v>581</v>
      </c>
      <c r="C80" s="4" t="s">
        <v>579</v>
      </c>
      <c r="D80" s="31">
        <v>37500</v>
      </c>
      <c r="E80" s="31">
        <v>890000</v>
      </c>
      <c r="F80" s="108">
        <v>1157300</v>
      </c>
      <c r="G80" s="7">
        <v>87</v>
      </c>
      <c r="H80" s="7">
        <v>91.6</v>
      </c>
      <c r="I80" s="7">
        <v>84.1</v>
      </c>
      <c r="J80" s="7">
        <v>71.900000000000006</v>
      </c>
      <c r="K80" s="58">
        <v>100</v>
      </c>
      <c r="L80" s="7">
        <f>Performance[[#This Row],[Actual_Result]]/Performance[[#This Row],[Performance_Target]]</f>
        <v>1.3003370786516855</v>
      </c>
      <c r="M80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80" s="110" t="str">
        <f>IF(Performance[[#This Row],[Overall_Score]]&gt;=90,"Passed","Not Passed")</f>
        <v>Passed</v>
      </c>
      <c r="O80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80" s="7">
        <f>Performance[[#This Row],[Bonus_%]]*Performance[[#This Row],[Monthly_Salary]]</f>
        <v>7500</v>
      </c>
    </row>
    <row r="81" spans="1:16" x14ac:dyDescent="0.25">
      <c r="A81" s="17" t="s">
        <v>87</v>
      </c>
      <c r="B81" s="4" t="s">
        <v>582</v>
      </c>
      <c r="C81" s="4" t="s">
        <v>579</v>
      </c>
      <c r="D81" s="31">
        <v>45500</v>
      </c>
      <c r="E81" s="31">
        <v>670000</v>
      </c>
      <c r="F81" s="108">
        <v>783900</v>
      </c>
      <c r="G81" s="7">
        <v>68.8</v>
      </c>
      <c r="H81" s="7">
        <v>93.1</v>
      </c>
      <c r="I81" s="7">
        <v>82.4</v>
      </c>
      <c r="J81" s="7">
        <v>92.3</v>
      </c>
      <c r="K81" s="58">
        <v>97.8</v>
      </c>
      <c r="L81" s="7">
        <f>Performance[[#This Row],[Actual_Result]]/Performance[[#This Row],[Performance_Target]]</f>
        <v>1.17</v>
      </c>
      <c r="M81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81" s="110" t="str">
        <f>IF(Performance[[#This Row],[Overall_Score]]&gt;=90,"Passed","Not Passed")</f>
        <v>Passed</v>
      </c>
      <c r="O81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81" s="7">
        <f>Performance[[#This Row],[Bonus_%]]*Performance[[#This Row],[Monthly_Salary]]</f>
        <v>6825</v>
      </c>
    </row>
    <row r="82" spans="1:16" x14ac:dyDescent="0.25">
      <c r="A82" s="17" t="s">
        <v>109</v>
      </c>
      <c r="B82" s="4" t="s">
        <v>583</v>
      </c>
      <c r="C82" s="4" t="s">
        <v>579</v>
      </c>
      <c r="D82" s="31">
        <v>33500</v>
      </c>
      <c r="E82" s="31">
        <v>860000</v>
      </c>
      <c r="F82" s="108">
        <v>859300</v>
      </c>
      <c r="G82" s="7">
        <v>87.7</v>
      </c>
      <c r="H82" s="7">
        <v>93.9</v>
      </c>
      <c r="I82" s="7">
        <v>79.7</v>
      </c>
      <c r="J82" s="7">
        <v>84.7</v>
      </c>
      <c r="K82" s="58">
        <v>92.6</v>
      </c>
      <c r="L82" s="7">
        <f>Performance[[#This Row],[Actual_Result]]/Performance[[#This Row],[Performance_Target]]</f>
        <v>0.9991860465116279</v>
      </c>
      <c r="M82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82" s="110" t="str">
        <f>IF(Performance[[#This Row],[Overall_Score]]&gt;=90,"Passed","Not Passed")</f>
        <v>Passed</v>
      </c>
      <c r="O82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82" s="7">
        <f>Performance[[#This Row],[Bonus_%]]*Performance[[#This Row],[Monthly_Salary]]</f>
        <v>1675</v>
      </c>
    </row>
    <row r="83" spans="1:16" x14ac:dyDescent="0.25">
      <c r="A83" s="17" t="s">
        <v>55</v>
      </c>
      <c r="B83" s="4" t="s">
        <v>584</v>
      </c>
      <c r="C83" s="4" t="s">
        <v>579</v>
      </c>
      <c r="D83" s="31">
        <v>31000</v>
      </c>
      <c r="E83" s="31">
        <v>630000</v>
      </c>
      <c r="F83" s="108">
        <v>596000</v>
      </c>
      <c r="G83" s="7">
        <v>66.8</v>
      </c>
      <c r="H83" s="7">
        <v>90.9</v>
      </c>
      <c r="I83" s="7">
        <v>82.4</v>
      </c>
      <c r="J83" s="7">
        <v>82</v>
      </c>
      <c r="K83" s="58">
        <v>85.6</v>
      </c>
      <c r="L83" s="7">
        <f>Performance[[#This Row],[Actual_Result]]/Performance[[#This Row],[Performance_Target]]</f>
        <v>0.946031746031746</v>
      </c>
      <c r="M8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83" s="110" t="str">
        <f>IF(Performance[[#This Row],[Overall_Score]]&gt;=90,"Passed","Not Passed")</f>
        <v>Not Passed</v>
      </c>
      <c r="O8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83" s="7">
        <f>Performance[[#This Row],[Bonus_%]]*Performance[[#This Row],[Monthly_Salary]]</f>
        <v>1550</v>
      </c>
    </row>
    <row r="84" spans="1:16" x14ac:dyDescent="0.25">
      <c r="A84" s="17" t="s">
        <v>381</v>
      </c>
      <c r="B84" s="4" t="s">
        <v>585</v>
      </c>
      <c r="C84" s="4" t="s">
        <v>579</v>
      </c>
      <c r="D84" s="31">
        <v>39000</v>
      </c>
      <c r="E84" s="31">
        <v>720000</v>
      </c>
      <c r="F84" s="108">
        <v>685400</v>
      </c>
      <c r="G84" s="7">
        <v>79.099999999999994</v>
      </c>
      <c r="H84" s="7">
        <v>90.5</v>
      </c>
      <c r="I84" s="7">
        <v>75.099999999999994</v>
      </c>
      <c r="J84" s="7">
        <v>81.5</v>
      </c>
      <c r="K84" s="58">
        <v>87.4</v>
      </c>
      <c r="L84" s="7">
        <f>Performance[[#This Row],[Actual_Result]]/Performance[[#This Row],[Performance_Target]]</f>
        <v>0.95194444444444448</v>
      </c>
      <c r="M8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84" s="110" t="str">
        <f>IF(Performance[[#This Row],[Overall_Score]]&gt;=90,"Passed","Not Passed")</f>
        <v>Not Passed</v>
      </c>
      <c r="O8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84" s="7">
        <f>Performance[[#This Row],[Bonus_%]]*Performance[[#This Row],[Monthly_Salary]]</f>
        <v>1950</v>
      </c>
    </row>
    <row r="85" spans="1:16" x14ac:dyDescent="0.25">
      <c r="A85" s="17" t="s">
        <v>371</v>
      </c>
      <c r="B85" s="4" t="s">
        <v>586</v>
      </c>
      <c r="C85" s="4" t="s">
        <v>579</v>
      </c>
      <c r="D85" s="31">
        <v>42000</v>
      </c>
      <c r="E85" s="31">
        <v>760000</v>
      </c>
      <c r="F85" s="108">
        <v>745500</v>
      </c>
      <c r="G85" s="7">
        <v>85.5</v>
      </c>
      <c r="H85" s="7">
        <v>93.3</v>
      </c>
      <c r="I85" s="7">
        <v>69.7</v>
      </c>
      <c r="J85" s="7">
        <v>72.8</v>
      </c>
      <c r="K85" s="58">
        <v>88.5</v>
      </c>
      <c r="L85" s="7">
        <f>Performance[[#This Row],[Actual_Result]]/Performance[[#This Row],[Performance_Target]]</f>
        <v>0.98092105263157892</v>
      </c>
      <c r="M8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Near Target</v>
      </c>
      <c r="N85" s="110" t="str">
        <f>IF(Performance[[#This Row],[Overall_Score]]&gt;=90,"Passed","Not Passed")</f>
        <v>Not Passed</v>
      </c>
      <c r="O8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0.05</v>
      </c>
      <c r="P85" s="7">
        <f>Performance[[#This Row],[Bonus_%]]*Performance[[#This Row],[Monthly_Salary]]</f>
        <v>2100</v>
      </c>
    </row>
    <row r="86" spans="1:16" x14ac:dyDescent="0.25">
      <c r="A86" s="17" t="s">
        <v>261</v>
      </c>
      <c r="B86" s="4" t="s">
        <v>587</v>
      </c>
      <c r="C86" s="4" t="s">
        <v>579</v>
      </c>
      <c r="D86" s="31">
        <v>35000</v>
      </c>
      <c r="E86" s="31">
        <v>520000</v>
      </c>
      <c r="F86" s="108">
        <v>752700</v>
      </c>
      <c r="G86" s="7">
        <v>71.8</v>
      </c>
      <c r="H86" s="7">
        <v>91.9</v>
      </c>
      <c r="I86" s="7">
        <v>85.2</v>
      </c>
      <c r="J86" s="7">
        <v>86.9</v>
      </c>
      <c r="K86" s="58">
        <v>100</v>
      </c>
      <c r="L86" s="7">
        <f>Performance[[#This Row],[Actual_Result]]/Performance[[#This Row],[Performance_Target]]</f>
        <v>1.4475</v>
      </c>
      <c r="M86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Outstanding</v>
      </c>
      <c r="N86" s="110" t="str">
        <f>IF(Performance[[#This Row],[Overall_Score]]&gt;=90,"Passed","Not Passed")</f>
        <v>Passed</v>
      </c>
      <c r="O86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0.2</v>
      </c>
      <c r="P86" s="7">
        <f>Performance[[#This Row],[Bonus_%]]*Performance[[#This Row],[Monthly_Salary]]</f>
        <v>7000</v>
      </c>
    </row>
    <row r="87" spans="1:16" x14ac:dyDescent="0.25">
      <c r="A87" s="17" t="s">
        <v>276</v>
      </c>
      <c r="B87" s="4" t="s">
        <v>588</v>
      </c>
      <c r="C87" s="4" t="s">
        <v>579</v>
      </c>
      <c r="D87" s="31">
        <v>42000</v>
      </c>
      <c r="E87" s="31">
        <v>700000</v>
      </c>
      <c r="F87" s="108">
        <v>751600</v>
      </c>
      <c r="G87" s="7">
        <v>78</v>
      </c>
      <c r="H87" s="7">
        <v>95</v>
      </c>
      <c r="I87" s="7">
        <v>80.599999999999994</v>
      </c>
      <c r="J87" s="7">
        <v>81.5</v>
      </c>
      <c r="K87" s="58">
        <v>93.7</v>
      </c>
      <c r="L87" s="7">
        <f>Performance[[#This Row],[Actual_Result]]/Performance[[#This Row],[Performance_Target]]</f>
        <v>1.0737142857142856</v>
      </c>
      <c r="M87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87" s="110" t="str">
        <f>IF(Performance[[#This Row],[Overall_Score]]&gt;=90,"Passed","Not Passed")</f>
        <v>Passed</v>
      </c>
      <c r="O87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87" s="7">
        <f>Performance[[#This Row],[Bonus_%]]*Performance[[#This Row],[Monthly_Salary]]</f>
        <v>4200</v>
      </c>
    </row>
    <row r="88" spans="1:16" x14ac:dyDescent="0.25">
      <c r="A88" s="17" t="s">
        <v>216</v>
      </c>
      <c r="B88" s="4" t="s">
        <v>589</v>
      </c>
      <c r="C88" s="4" t="s">
        <v>590</v>
      </c>
      <c r="D88" s="31">
        <v>32000</v>
      </c>
      <c r="E88" s="31">
        <v>580000</v>
      </c>
      <c r="F88" s="108">
        <v>594000</v>
      </c>
      <c r="G88" s="7">
        <v>91.5</v>
      </c>
      <c r="H88" s="7">
        <v>93.9</v>
      </c>
      <c r="I88" s="7">
        <v>79.8</v>
      </c>
      <c r="J88" s="7">
        <v>92.5</v>
      </c>
      <c r="K88" s="58">
        <v>95.6</v>
      </c>
      <c r="L88" s="7">
        <f>Performance[[#This Row],[Actual_Result]]/Performance[[#This Row],[Performance_Target]]</f>
        <v>1.0241379310344827</v>
      </c>
      <c r="M88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88" s="110" t="str">
        <f>IF(Performance[[#This Row],[Overall_Score]]&gt;=90,"Passed","Not Passed")</f>
        <v>Passed</v>
      </c>
      <c r="O88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88" s="7">
        <f>Performance[[#This Row],[Bonus_%]]*Performance[[#This Row],[Monthly_Salary]]</f>
        <v>3200</v>
      </c>
    </row>
    <row r="89" spans="1:16" x14ac:dyDescent="0.25">
      <c r="A89" s="17" t="s">
        <v>194</v>
      </c>
      <c r="B89" s="4" t="s">
        <v>591</v>
      </c>
      <c r="C89" s="4" t="s">
        <v>590</v>
      </c>
      <c r="D89" s="31">
        <v>39000</v>
      </c>
      <c r="E89" s="31">
        <v>640000</v>
      </c>
      <c r="F89" s="108">
        <v>737900</v>
      </c>
      <c r="G89" s="7">
        <v>96.3</v>
      </c>
      <c r="H89" s="7">
        <v>87</v>
      </c>
      <c r="I89" s="7">
        <v>89.1</v>
      </c>
      <c r="J89" s="7">
        <v>88.8</v>
      </c>
      <c r="K89" s="58">
        <v>100</v>
      </c>
      <c r="L89" s="7">
        <f>Performance[[#This Row],[Actual_Result]]/Performance[[#This Row],[Performance_Target]]</f>
        <v>1.1529687500000001</v>
      </c>
      <c r="M89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89" s="110" t="str">
        <f>IF(Performance[[#This Row],[Overall_Score]]&gt;=90,"Passed","Not Passed")</f>
        <v>Passed</v>
      </c>
      <c r="O89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89" s="7">
        <f>Performance[[#This Row],[Bonus_%]]*Performance[[#This Row],[Monthly_Salary]]</f>
        <v>5850</v>
      </c>
    </row>
    <row r="90" spans="1:16" x14ac:dyDescent="0.25">
      <c r="A90" s="17" t="s">
        <v>592</v>
      </c>
      <c r="B90" s="4" t="s">
        <v>593</v>
      </c>
      <c r="C90" s="4" t="s">
        <v>590</v>
      </c>
      <c r="D90" s="31">
        <v>29000</v>
      </c>
      <c r="E90" s="31">
        <v>460000</v>
      </c>
      <c r="F90" s="108">
        <v>377500</v>
      </c>
      <c r="G90" s="7">
        <v>84.3</v>
      </c>
      <c r="H90" s="7">
        <v>98.2</v>
      </c>
      <c r="I90" s="7">
        <v>71.7</v>
      </c>
      <c r="J90" s="7">
        <v>87.5</v>
      </c>
      <c r="K90" s="58">
        <v>83.9</v>
      </c>
      <c r="L90" s="7">
        <f>Performance[[#This Row],[Actual_Result]]/Performance[[#This Row],[Performance_Target]]</f>
        <v>0.82065217391304346</v>
      </c>
      <c r="M90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90" s="110" t="str">
        <f>IF(Performance[[#This Row],[Overall_Score]]&gt;=90,"Passed","Not Passed")</f>
        <v>Not Passed</v>
      </c>
      <c r="O90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90" s="7">
        <f>Performance[[#This Row],[Bonus_%]]*Performance[[#This Row],[Monthly_Salary]]</f>
        <v>0</v>
      </c>
    </row>
    <row r="91" spans="1:16" x14ac:dyDescent="0.25">
      <c r="A91" s="17" t="s">
        <v>342</v>
      </c>
      <c r="B91" s="4" t="s">
        <v>594</v>
      </c>
      <c r="C91" s="4" t="s">
        <v>590</v>
      </c>
      <c r="D91" s="31">
        <v>36000</v>
      </c>
      <c r="E91" s="31">
        <v>740000</v>
      </c>
      <c r="F91" s="108">
        <v>841300</v>
      </c>
      <c r="G91" s="7">
        <v>72.400000000000006</v>
      </c>
      <c r="H91" s="7">
        <v>93.4</v>
      </c>
      <c r="I91" s="7">
        <v>83</v>
      </c>
      <c r="J91" s="7">
        <v>77.599999999999994</v>
      </c>
      <c r="K91" s="58">
        <v>94.9</v>
      </c>
      <c r="L91" s="7">
        <f>Performance[[#This Row],[Actual_Result]]/Performance[[#This Row],[Performance_Target]]</f>
        <v>1.136891891891892</v>
      </c>
      <c r="M91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Exceeds Target</v>
      </c>
      <c r="N91" s="110" t="str">
        <f>IF(Performance[[#This Row],[Overall_Score]]&gt;=90,"Passed","Not Passed")</f>
        <v>Passed</v>
      </c>
      <c r="O91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0.15</v>
      </c>
      <c r="P91" s="7">
        <f>Performance[[#This Row],[Bonus_%]]*Performance[[#This Row],[Monthly_Salary]]</f>
        <v>5400</v>
      </c>
    </row>
    <row r="92" spans="1:16" x14ac:dyDescent="0.25">
      <c r="A92" s="17" t="s">
        <v>595</v>
      </c>
      <c r="B92" s="4" t="s">
        <v>596</v>
      </c>
      <c r="C92" s="4" t="s">
        <v>590</v>
      </c>
      <c r="D92" s="31">
        <v>39500</v>
      </c>
      <c r="E92" s="31">
        <v>540000</v>
      </c>
      <c r="F92" s="108">
        <v>443700</v>
      </c>
      <c r="G92" s="7">
        <v>80.8</v>
      </c>
      <c r="H92" s="7">
        <v>97.2</v>
      </c>
      <c r="I92" s="7">
        <v>86.4</v>
      </c>
      <c r="J92" s="7">
        <v>77.099999999999994</v>
      </c>
      <c r="K92" s="58">
        <v>83.1</v>
      </c>
      <c r="L92" s="7">
        <f>Performance[[#This Row],[Actual_Result]]/Performance[[#This Row],[Performance_Target]]</f>
        <v>0.82166666666666666</v>
      </c>
      <c r="M92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92" s="110" t="str">
        <f>IF(Performance[[#This Row],[Overall_Score]]&gt;=90,"Passed","Not Passed")</f>
        <v>Not Passed</v>
      </c>
      <c r="O92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92" s="7">
        <f>Performance[[#This Row],[Bonus_%]]*Performance[[#This Row],[Monthly_Salary]]</f>
        <v>0</v>
      </c>
    </row>
    <row r="93" spans="1:16" x14ac:dyDescent="0.25">
      <c r="A93" s="17" t="s">
        <v>236</v>
      </c>
      <c r="B93" s="4" t="s">
        <v>597</v>
      </c>
      <c r="C93" s="4" t="s">
        <v>590</v>
      </c>
      <c r="D93" s="31">
        <v>33500</v>
      </c>
      <c r="E93" s="31">
        <v>720000</v>
      </c>
      <c r="F93" s="108">
        <v>790100</v>
      </c>
      <c r="G93" s="7">
        <v>74.5</v>
      </c>
      <c r="H93" s="7">
        <v>87.6</v>
      </c>
      <c r="I93" s="7">
        <v>76.3</v>
      </c>
      <c r="J93" s="7">
        <v>93</v>
      </c>
      <c r="K93" s="58">
        <v>94.6</v>
      </c>
      <c r="L93" s="7">
        <f>Performance[[#This Row],[Actual_Result]]/Performance[[#This Row],[Performance_Target]]</f>
        <v>1.097361111111111</v>
      </c>
      <c r="M93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93" s="110" t="str">
        <f>IF(Performance[[#This Row],[Overall_Score]]&gt;=90,"Passed","Not Passed")</f>
        <v>Passed</v>
      </c>
      <c r="O93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93" s="7">
        <f>Performance[[#This Row],[Bonus_%]]*Performance[[#This Row],[Monthly_Salary]]</f>
        <v>3350</v>
      </c>
    </row>
    <row r="94" spans="1:16" x14ac:dyDescent="0.25">
      <c r="A94" s="17" t="s">
        <v>598</v>
      </c>
      <c r="B94" s="4" t="s">
        <v>599</v>
      </c>
      <c r="C94" s="4" t="s">
        <v>590</v>
      </c>
      <c r="D94" s="31">
        <v>27500</v>
      </c>
      <c r="E94" s="31">
        <v>610000</v>
      </c>
      <c r="F94" s="108">
        <v>669800</v>
      </c>
      <c r="G94" s="7">
        <v>82</v>
      </c>
      <c r="H94" s="7">
        <v>92.3</v>
      </c>
      <c r="I94" s="7">
        <v>76.099999999999994</v>
      </c>
      <c r="J94" s="7">
        <v>84.9</v>
      </c>
      <c r="K94" s="58">
        <v>95.4</v>
      </c>
      <c r="L94" s="7">
        <f>Performance[[#This Row],[Actual_Result]]/Performance[[#This Row],[Performance_Target]]</f>
        <v>1.098032786885246</v>
      </c>
      <c r="M94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94" s="110" t="str">
        <f>IF(Performance[[#This Row],[Overall_Score]]&gt;=90,"Passed","Not Passed")</f>
        <v>Passed</v>
      </c>
      <c r="O94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94" s="7">
        <f>Performance[[#This Row],[Bonus_%]]*Performance[[#This Row],[Monthly_Salary]]</f>
        <v>2750</v>
      </c>
    </row>
    <row r="95" spans="1:16" x14ac:dyDescent="0.25">
      <c r="A95" s="17" t="s">
        <v>97</v>
      </c>
      <c r="B95" s="4" t="s">
        <v>600</v>
      </c>
      <c r="C95" s="4" t="s">
        <v>590</v>
      </c>
      <c r="D95" s="31">
        <v>32000</v>
      </c>
      <c r="E95" s="31">
        <v>560000</v>
      </c>
      <c r="F95" s="108">
        <v>441100</v>
      </c>
      <c r="G95" s="7">
        <v>78.900000000000006</v>
      </c>
      <c r="H95" s="7">
        <v>93.1</v>
      </c>
      <c r="I95" s="7">
        <v>66.5</v>
      </c>
      <c r="J95" s="7">
        <v>77.3</v>
      </c>
      <c r="K95" s="58">
        <v>78.8</v>
      </c>
      <c r="L95" s="7">
        <f>Performance[[#This Row],[Actual_Result]]/Performance[[#This Row],[Performance_Target]]</f>
        <v>0.78767857142857145</v>
      </c>
      <c r="M95" s="7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Below Target</v>
      </c>
      <c r="N95" s="110" t="str">
        <f>IF(Performance[[#This Row],[Overall_Score]]&gt;=90,"Passed","Not Passed")</f>
        <v>Not Passed</v>
      </c>
      <c r="O95" s="7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</v>
      </c>
      <c r="P95" s="7">
        <f>Performance[[#This Row],[Bonus_%]]*Performance[[#This Row],[Monthly_Salary]]</f>
        <v>0</v>
      </c>
    </row>
    <row r="96" spans="1:16" x14ac:dyDescent="0.25">
      <c r="A96" s="22" t="s">
        <v>601</v>
      </c>
      <c r="B96" s="24" t="s">
        <v>602</v>
      </c>
      <c r="C96" s="24" t="s">
        <v>590</v>
      </c>
      <c r="D96" s="32">
        <v>33000</v>
      </c>
      <c r="E96" s="32">
        <v>530000</v>
      </c>
      <c r="F96" s="109">
        <v>558600</v>
      </c>
      <c r="G96" s="25">
        <v>82.1</v>
      </c>
      <c r="H96" s="25">
        <v>92.8</v>
      </c>
      <c r="I96" s="25">
        <v>70.900000000000006</v>
      </c>
      <c r="J96" s="25">
        <v>96.6</v>
      </c>
      <c r="K96" s="59">
        <v>94.7</v>
      </c>
      <c r="L96" s="25">
        <f>Performance[[#This Row],[Actual_Result]]/Performance[[#This Row],[Performance_Target]]</f>
        <v>1.0539622641509434</v>
      </c>
      <c r="M96" s="25" t="str">
        <f>IF(AND(Performance[[#This Row],[Target_Attainment]]&gt;=0.9,Performance[[#This Row],[Target_Attainment]]&lt;1),"Near Target",IF(AND(Performance[[#This Row],[Target_Attainment]]&gt;=1,Performance[[#This Row],[Target_Attainment]]&lt;1.1),"Meets Target",IF(AND(Performance[[#This Row],[Target_Attainment]]&gt;=1.1,Performance[[#This Row],[Target_Attainment]]&lt;1.2),"Exceeds Target",IF(Performance[[#This Row],[Target_Attainment]]&gt;=1.2,"Outstanding","Below Target"))))</f>
        <v>Meets Target</v>
      </c>
      <c r="N96" s="110" t="str">
        <f>IF(Performance[[#This Row],[Overall_Score]]&gt;=90,"Passed","Not Passed")</f>
        <v>Passed</v>
      </c>
      <c r="O96" s="25">
        <f>IF(AND(Performance[[#This Row],[Target_Attainment]]&gt;=0.9,Performance[[#This Row],[Target_Attainment]]&lt;1),0.05,IF(AND(Performance[[#This Row],[Target_Attainment]]&gt;=1,Performance[[#This Row],[Target_Attainment]]&lt;1.1),0.1,IF(AND(Performance[[#This Row],[Target_Attainment]]&gt;=1.1,Performance[[#This Row],[Target_Attainment]]&lt;1.2),0.15,IF(Performance[[#This Row],[Target_Attainment]]&gt;=1.2,0.2,0))))</f>
        <v>0.1</v>
      </c>
      <c r="P96" s="25">
        <f>Performance[[#This Row],[Bonus_%]]*Performance[[#This Row],[Monthly_Salary]]</f>
        <v>3300</v>
      </c>
    </row>
  </sheetData>
  <conditionalFormatting sqref="N2:N96">
    <cfRule type="cellIs" dxfId="1" priority="4" operator="equal">
      <formula>"Yes"</formula>
    </cfRule>
  </conditionalFormatting>
  <conditionalFormatting sqref="M2:M96">
    <cfRule type="cellIs" dxfId="5" priority="3" operator="equal">
      <formula>"Below Target"</formula>
    </cfRule>
  </conditionalFormatting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B29"/>
  <sheetViews>
    <sheetView showGridLines="0" workbookViewId="0">
      <selection activeCell="B19" sqref="B19"/>
    </sheetView>
  </sheetViews>
  <sheetFormatPr defaultRowHeight="15" x14ac:dyDescent="0.25"/>
  <cols>
    <col min="1" max="1" width="20" customWidth="1"/>
    <col min="2" max="2" width="115" customWidth="1"/>
  </cols>
  <sheetData>
    <row r="1" spans="1:2" x14ac:dyDescent="0.25">
      <c r="A1" s="8" t="s">
        <v>622</v>
      </c>
      <c r="B1" s="13" t="s">
        <v>623</v>
      </c>
    </row>
    <row r="2" spans="1:2" x14ac:dyDescent="0.25">
      <c r="B2" s="13" t="s">
        <v>624</v>
      </c>
    </row>
    <row r="3" spans="1:2" x14ac:dyDescent="0.25">
      <c r="B3" s="13" t="s">
        <v>625</v>
      </c>
    </row>
    <row r="4" spans="1:2" x14ac:dyDescent="0.25">
      <c r="B4" s="13" t="s">
        <v>626</v>
      </c>
    </row>
    <row r="5" spans="1:2" x14ac:dyDescent="0.25">
      <c r="B5" s="13" t="s">
        <v>627</v>
      </c>
    </row>
    <row r="6" spans="1:2" x14ac:dyDescent="0.25">
      <c r="A6" s="8" t="s">
        <v>628</v>
      </c>
      <c r="B6" s="13" t="s">
        <v>629</v>
      </c>
    </row>
    <row r="7" spans="1:2" x14ac:dyDescent="0.25">
      <c r="B7" s="13" t="s">
        <v>630</v>
      </c>
    </row>
    <row r="8" spans="1:2" x14ac:dyDescent="0.25">
      <c r="B8" s="13" t="s">
        <v>631</v>
      </c>
    </row>
    <row r="9" spans="1:2" x14ac:dyDescent="0.25">
      <c r="B9" s="13" t="s">
        <v>632</v>
      </c>
    </row>
    <row r="10" spans="1:2" x14ac:dyDescent="0.25">
      <c r="A10" s="8" t="s">
        <v>633</v>
      </c>
      <c r="B10" s="13" t="s">
        <v>634</v>
      </c>
    </row>
    <row r="11" spans="1:2" x14ac:dyDescent="0.25">
      <c r="B11" s="13" t="s">
        <v>635</v>
      </c>
    </row>
    <row r="12" spans="1:2" x14ac:dyDescent="0.25">
      <c r="B12" s="13" t="s">
        <v>636</v>
      </c>
    </row>
    <row r="13" spans="1:2" x14ac:dyDescent="0.25">
      <c r="B13" s="13" t="s">
        <v>637</v>
      </c>
    </row>
    <row r="14" spans="1:2" x14ac:dyDescent="0.25">
      <c r="B14" s="13" t="s">
        <v>638</v>
      </c>
    </row>
    <row r="15" spans="1:2" x14ac:dyDescent="0.25">
      <c r="B15" s="13" t="s">
        <v>639</v>
      </c>
    </row>
    <row r="16" spans="1:2" x14ac:dyDescent="0.25">
      <c r="A16" s="8" t="s">
        <v>640</v>
      </c>
      <c r="B16" s="13" t="s">
        <v>641</v>
      </c>
    </row>
    <row r="17" spans="1:2" x14ac:dyDescent="0.25">
      <c r="B17" s="13" t="s">
        <v>642</v>
      </c>
    </row>
    <row r="18" spans="1:2" x14ac:dyDescent="0.25">
      <c r="B18" s="13" t="s">
        <v>643</v>
      </c>
    </row>
    <row r="19" spans="1:2" x14ac:dyDescent="0.25">
      <c r="B19" s="13" t="s">
        <v>644</v>
      </c>
    </row>
    <row r="20" spans="1:2" x14ac:dyDescent="0.25">
      <c r="B20" s="13" t="s">
        <v>645</v>
      </c>
    </row>
    <row r="21" spans="1:2" x14ac:dyDescent="0.25">
      <c r="A21" s="8" t="s">
        <v>646</v>
      </c>
      <c r="B21" s="13" t="s">
        <v>647</v>
      </c>
    </row>
    <row r="22" spans="1:2" x14ac:dyDescent="0.25">
      <c r="B22" s="13" t="s">
        <v>648</v>
      </c>
    </row>
    <row r="23" spans="1:2" x14ac:dyDescent="0.25">
      <c r="B23" s="13" t="s">
        <v>649</v>
      </c>
    </row>
    <row r="24" spans="1:2" x14ac:dyDescent="0.25">
      <c r="B24" s="13" t="s">
        <v>650</v>
      </c>
    </row>
    <row r="25" spans="1:2" x14ac:dyDescent="0.25">
      <c r="B25" s="13" t="s">
        <v>651</v>
      </c>
    </row>
    <row r="26" spans="1:2" x14ac:dyDescent="0.25">
      <c r="A26" s="8" t="s">
        <v>652</v>
      </c>
      <c r="B26" s="13" t="s">
        <v>653</v>
      </c>
    </row>
    <row r="27" spans="1:2" x14ac:dyDescent="0.25">
      <c r="B27" s="13" t="s">
        <v>654</v>
      </c>
    </row>
    <row r="28" spans="1:2" x14ac:dyDescent="0.25">
      <c r="B28" s="13" t="s">
        <v>655</v>
      </c>
    </row>
    <row r="29" spans="1:2" x14ac:dyDescent="0.25">
      <c r="B29" s="13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Y386"/>
  <sheetViews>
    <sheetView topLeftCell="A150" zoomScaleNormal="100" workbookViewId="0">
      <selection activeCell="C261" sqref="C261"/>
    </sheetView>
  </sheetViews>
  <sheetFormatPr defaultRowHeight="20.100000000000001" customHeight="1" x14ac:dyDescent="0.25"/>
  <cols>
    <col min="1" max="1" width="19" style="13" customWidth="1"/>
    <col min="2" max="2" width="9.140625" style="13" customWidth="1"/>
    <col min="3" max="4" width="9.140625" style="13"/>
    <col min="5" max="5" width="9.140625" style="13" customWidth="1"/>
    <col min="6" max="6" width="20.140625" style="13" bestFit="1" customWidth="1"/>
    <col min="7" max="7" width="21.5703125" style="13" customWidth="1"/>
    <col min="8" max="8" width="14.28515625" style="13" customWidth="1"/>
    <col min="9" max="9" width="18.85546875" style="13" bestFit="1" customWidth="1"/>
    <col min="10" max="10" width="9.140625" style="13" customWidth="1"/>
    <col min="11" max="11" width="17.28515625" style="13" bestFit="1" customWidth="1"/>
    <col min="12" max="12" width="16.5703125" style="13" bestFit="1" customWidth="1"/>
    <col min="14" max="14" width="10.28515625" customWidth="1"/>
    <col min="15" max="15" width="9.140625" customWidth="1"/>
    <col min="16" max="16" width="9" bestFit="1" customWidth="1"/>
  </cols>
  <sheetData>
    <row r="1" spans="1:25" ht="39" customHeight="1" x14ac:dyDescent="0.25">
      <c r="A1" s="143" t="s">
        <v>622</v>
      </c>
    </row>
    <row r="3" spans="1:25" ht="20.100000000000001" customHeight="1" x14ac:dyDescent="0.25">
      <c r="B3" s="72" t="s">
        <v>623</v>
      </c>
    </row>
    <row r="5" spans="1:25" ht="20.100000000000001" customHeight="1" x14ac:dyDescent="0.25">
      <c r="D5" s="39" t="s">
        <v>736</v>
      </c>
      <c r="Y5" s="35"/>
    </row>
    <row r="6" spans="1:25" ht="20.100000000000001" customHeight="1" x14ac:dyDescent="0.25">
      <c r="D6" s="38" t="s">
        <v>735</v>
      </c>
    </row>
    <row r="7" spans="1:25" ht="20.100000000000001" customHeight="1" x14ac:dyDescent="0.25">
      <c r="D7" s="38"/>
    </row>
    <row r="9" spans="1:25" ht="20.100000000000001" customHeight="1" x14ac:dyDescent="0.3">
      <c r="D9" s="42" t="s">
        <v>737</v>
      </c>
    </row>
    <row r="10" spans="1:25" ht="20.100000000000001" customHeight="1" x14ac:dyDescent="0.25">
      <c r="B10" s="35"/>
      <c r="D10" s="38" t="s">
        <v>738</v>
      </c>
      <c r="M10" s="43" t="s">
        <v>739</v>
      </c>
    </row>
    <row r="11" spans="1:25" ht="20.100000000000001" customHeight="1" x14ac:dyDescent="0.25">
      <c r="B11" s="35"/>
      <c r="D11" s="38"/>
      <c r="M11" s="43"/>
    </row>
    <row r="12" spans="1:25" ht="20.100000000000001" customHeight="1" x14ac:dyDescent="0.25">
      <c r="B12" s="35"/>
      <c r="D12" s="38"/>
      <c r="M12" s="43"/>
    </row>
    <row r="13" spans="1:25" ht="20.100000000000001" customHeight="1" x14ac:dyDescent="0.25">
      <c r="B13" s="35"/>
      <c r="D13" s="38"/>
      <c r="M13" s="43"/>
    </row>
    <row r="14" spans="1:25" ht="19.5" customHeight="1" x14ac:dyDescent="0.25">
      <c r="B14" s="35"/>
      <c r="D14" s="38"/>
      <c r="M14" s="43"/>
    </row>
    <row r="16" spans="1:25" ht="20.100000000000001" customHeight="1" x14ac:dyDescent="0.25">
      <c r="A16" s="160" t="s">
        <v>742</v>
      </c>
      <c r="B16" s="72" t="s">
        <v>624</v>
      </c>
    </row>
    <row r="17" spans="1:12" ht="20.100000000000001" customHeight="1" x14ac:dyDescent="0.25">
      <c r="A17" s="160"/>
      <c r="B17" s="72" t="s">
        <v>625</v>
      </c>
    </row>
    <row r="18" spans="1:12" ht="20.100000000000001" customHeight="1" x14ac:dyDescent="0.25">
      <c r="A18" s="160"/>
      <c r="B18" s="72" t="s">
        <v>626</v>
      </c>
    </row>
    <row r="19" spans="1:12" ht="20.100000000000001" customHeight="1" x14ac:dyDescent="0.25">
      <c r="A19" s="160"/>
      <c r="B19" s="72" t="s">
        <v>627</v>
      </c>
    </row>
    <row r="22" spans="1:12" ht="20.100000000000001" customHeight="1" x14ac:dyDescent="0.25">
      <c r="D22" s="67"/>
      <c r="G22" s="68" t="s">
        <v>743</v>
      </c>
      <c r="I22" s="44" t="s">
        <v>741</v>
      </c>
    </row>
    <row r="32" spans="1:12" s="37" customFormat="1" ht="20.100000000000001" customHeight="1" x14ac:dyDescent="0.25">
      <c r="A32" s="36"/>
      <c r="C32" s="36"/>
      <c r="D32" s="36"/>
      <c r="E32" s="36"/>
      <c r="F32" s="36"/>
      <c r="G32" s="36"/>
      <c r="H32" s="36"/>
      <c r="I32" s="36"/>
      <c r="J32" s="36"/>
      <c r="K32" s="36"/>
      <c r="L32" s="36"/>
    </row>
    <row r="33" spans="1:12" s="28" customFormat="1" ht="20.100000000000001" customHeight="1" x14ac:dyDescent="0.25">
      <c r="A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s="28" customFormat="1" ht="20.100000000000001" customHeight="1" x14ac:dyDescent="0.25">
      <c r="A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s="28" customFormat="1" ht="20.100000000000001" customHeight="1" x14ac:dyDescent="0.25">
      <c r="A35" s="162" t="s">
        <v>628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9.5" customHeight="1" x14ac:dyDescent="0.25">
      <c r="A36" s="162"/>
    </row>
    <row r="38" spans="1:12" ht="20.100000000000001" customHeight="1" x14ac:dyDescent="0.25">
      <c r="A38" s="67" t="s">
        <v>742</v>
      </c>
      <c r="B38" s="72" t="s">
        <v>629</v>
      </c>
    </row>
    <row r="41" spans="1:12" ht="20.100000000000001" customHeight="1" x14ac:dyDescent="0.25">
      <c r="D41" s="70" t="s">
        <v>744</v>
      </c>
    </row>
    <row r="42" spans="1:12" ht="20.100000000000001" customHeight="1" x14ac:dyDescent="0.25">
      <c r="D42" s="71" t="s">
        <v>745</v>
      </c>
    </row>
    <row r="44" spans="1:12" ht="20.100000000000001" customHeight="1" x14ac:dyDescent="0.25">
      <c r="D44" s="68" t="s">
        <v>746</v>
      </c>
    </row>
    <row r="45" spans="1:12" ht="20.100000000000001" customHeight="1" x14ac:dyDescent="0.25">
      <c r="D45" s="71" t="s">
        <v>747</v>
      </c>
    </row>
    <row r="48" spans="1:12" ht="20.100000000000001" customHeight="1" x14ac:dyDescent="0.25">
      <c r="A48" s="67" t="s">
        <v>742</v>
      </c>
      <c r="B48" s="72" t="s">
        <v>630</v>
      </c>
    </row>
    <row r="51" spans="1:4" ht="20.100000000000001" customHeight="1" x14ac:dyDescent="0.25">
      <c r="D51" s="68" t="s">
        <v>748</v>
      </c>
    </row>
    <row r="53" spans="1:4" ht="20.100000000000001" customHeight="1" x14ac:dyDescent="0.25">
      <c r="D53" s="68" t="s">
        <v>749</v>
      </c>
    </row>
    <row r="55" spans="1:4" ht="20.100000000000001" customHeight="1" x14ac:dyDescent="0.25">
      <c r="D55" s="68" t="s">
        <v>750</v>
      </c>
    </row>
    <row r="59" spans="1:4" ht="20.100000000000001" customHeight="1" x14ac:dyDescent="0.25">
      <c r="A59" s="67" t="s">
        <v>742</v>
      </c>
      <c r="B59" s="72" t="s">
        <v>631</v>
      </c>
    </row>
    <row r="62" spans="1:4" ht="20.100000000000001" customHeight="1" x14ac:dyDescent="0.25">
      <c r="D62" s="68" t="s">
        <v>752</v>
      </c>
    </row>
    <row r="63" spans="1:4" ht="20.100000000000001" customHeight="1" x14ac:dyDescent="0.25">
      <c r="D63" s="71" t="s">
        <v>751</v>
      </c>
    </row>
    <row r="65" spans="1:12" ht="20.100000000000001" customHeight="1" x14ac:dyDescent="0.25">
      <c r="D65" s="70" t="s">
        <v>753</v>
      </c>
    </row>
    <row r="66" spans="1:12" ht="20.100000000000001" customHeight="1" x14ac:dyDescent="0.25">
      <c r="D66"/>
    </row>
    <row r="67" spans="1:12" ht="20.100000000000001" customHeight="1" x14ac:dyDescent="0.25">
      <c r="D67" s="70" t="s">
        <v>754</v>
      </c>
    </row>
    <row r="68" spans="1:12" ht="20.100000000000001" customHeight="1" x14ac:dyDescent="0.25">
      <c r="D68"/>
    </row>
    <row r="69" spans="1:12" ht="20.100000000000001" customHeight="1" x14ac:dyDescent="0.25">
      <c r="D69" s="70" t="s">
        <v>755</v>
      </c>
    </row>
    <row r="73" spans="1:12" ht="20.100000000000001" customHeight="1" x14ac:dyDescent="0.25">
      <c r="A73" s="67" t="s">
        <v>742</v>
      </c>
      <c r="B73" s="72" t="s">
        <v>632</v>
      </c>
    </row>
    <row r="76" spans="1:12" ht="20.100000000000001" customHeight="1" x14ac:dyDescent="0.25">
      <c r="D76" s="68" t="s">
        <v>757</v>
      </c>
    </row>
    <row r="77" spans="1:12" ht="20.100000000000001" customHeight="1" x14ac:dyDescent="0.25">
      <c r="D77" s="71" t="s">
        <v>758</v>
      </c>
    </row>
    <row r="79" spans="1:12" s="37" customFormat="1" ht="20.100000000000001" customHeight="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2" spans="1:2" ht="20.100000000000001" customHeight="1" x14ac:dyDescent="0.25">
      <c r="A82" s="161" t="s">
        <v>633</v>
      </c>
    </row>
    <row r="83" spans="1:2" ht="20.100000000000001" customHeight="1" x14ac:dyDescent="0.25">
      <c r="A83" s="161"/>
    </row>
    <row r="85" spans="1:2" ht="20.100000000000001" customHeight="1" x14ac:dyDescent="0.25">
      <c r="A85" s="67" t="s">
        <v>761</v>
      </c>
      <c r="B85" s="72" t="s">
        <v>634</v>
      </c>
    </row>
    <row r="103" spans="1:13" ht="20.100000000000001" customHeight="1" x14ac:dyDescent="0.25">
      <c r="A103" s="163" t="s">
        <v>768</v>
      </c>
    </row>
    <row r="104" spans="1:13" ht="20.100000000000001" customHeight="1" x14ac:dyDescent="0.25">
      <c r="A104" s="163"/>
      <c r="B104" s="72" t="s">
        <v>635</v>
      </c>
    </row>
    <row r="107" spans="1:13" ht="29.25" customHeight="1" x14ac:dyDescent="0.25">
      <c r="A107" s="67" t="s">
        <v>761</v>
      </c>
      <c r="E107" s="106" t="s">
        <v>764</v>
      </c>
      <c r="F107" s="98" t="s">
        <v>763</v>
      </c>
      <c r="G107" s="99" t="s">
        <v>480</v>
      </c>
      <c r="H107" s="99" t="s">
        <v>767</v>
      </c>
      <c r="J107" s="107" t="s">
        <v>765</v>
      </c>
      <c r="K107" s="103" t="s">
        <v>763</v>
      </c>
      <c r="L107" s="102" t="s">
        <v>480</v>
      </c>
      <c r="M107" s="104" t="s">
        <v>27</v>
      </c>
    </row>
    <row r="108" spans="1:13" ht="20.100000000000001" customHeight="1" x14ac:dyDescent="0.25">
      <c r="E108" s="94">
        <v>1</v>
      </c>
      <c r="F108" s="95" t="str">
        <f>INDEX(Employees[#All],MATCH(LARGE(Employees[Net_Sales],Top10_Sales14[[#This Row],[Rank_Sales]]),Employees[[#All],[Net_Sales]],0),MATCH("Employee_Name",Employees[#Headers],0))</f>
        <v>ปวีณา วัฒนชัย</v>
      </c>
      <c r="G108" s="95" t="str">
        <f>INDEX(Employees[#All],MATCH(Top10_Sales14[[#This Row],[Employee]],Employees[[#All],[Employee_Name]],0),MATCH(Top10_Sales14[[#Headers],[Department]],Employees[#Headers],0))</f>
        <v>Sales</v>
      </c>
      <c r="H108" s="55">
        <f>INDEX(Employees[#All],MATCH(Top10_Sales14[[#This Row],[Employee]],Employees[[#All],[Employee_Name]],0),MATCH("Net_Sales",Employees[#Headers],0))</f>
        <v>1255431</v>
      </c>
      <c r="J108" s="94">
        <v>1</v>
      </c>
      <c r="K108" s="95" t="str">
        <f>INDEX(Employees[#All],MATCH(LARGE(Employees[Profit],Top10_Profit15[[#This Row],[Rank_Profit]]),Employees[[#All],[Profit]],0),MATCH("Employee_Name",Employees[#Headers],0))</f>
        <v>ปวีณา วัฒนชัย</v>
      </c>
      <c r="L108" s="4" t="str">
        <f>INDEX(Employees[#All],MATCH(Top10_Profit15[[#This Row],[Employee]],Employees[[#All],[Employee_Name]],0),MATCH(Top10_Sales14[[#Headers],[Department]],Employees[#Headers],0))</f>
        <v>Sales</v>
      </c>
      <c r="M108" s="31">
        <f>INDEX(Employees[#All],MATCH(Top10_Profit15[[#This Row],[Employee]],Employees[[#All],[Employee_Name]],0),MATCH(Top10_Profit15[[#Headers],[Profit]],Employees[#Headers],0))</f>
        <v>189631</v>
      </c>
    </row>
    <row r="109" spans="1:13" ht="20.100000000000001" customHeight="1" x14ac:dyDescent="0.25">
      <c r="E109" s="94">
        <v>2</v>
      </c>
      <c r="F109" s="95" t="str">
        <f>INDEX(Employees[#All],MATCH(LARGE(Employees[Net_Sales],Top10_Sales14[[#This Row],[Rank_Sales]]),Employees[[#All],[Net_Sales]],0),MATCH("Employee_Name",Employees[#Headers],0))</f>
        <v>ชญานิศ พิบูลย์</v>
      </c>
      <c r="G109" s="6" t="str">
        <f>INDEX(Employees[#All],MATCH(Top10_Sales14[[#This Row],[Employee]],Employees[[#All],[Employee_Name]],0),MATCH(Top10_Sales14[[#Headers],[Department]],Employees[#Headers],0))</f>
        <v>Operations</v>
      </c>
      <c r="H109" s="29">
        <f>INDEX(Employees[#All],MATCH(Top10_Sales14[[#This Row],[Employee]],Employees[[#All],[Employee_Name]],0),MATCH("Net_Sales",Employees[#Headers],0))</f>
        <v>1245920</v>
      </c>
      <c r="J109" s="94">
        <v>2</v>
      </c>
      <c r="K109" s="95" t="str">
        <f>INDEX(Employees[#All],MATCH(LARGE(Employees[Profit],Top10_Profit15[[#This Row],[Rank_Profit]]),Employees[[#All],[Profit]],0),MATCH("Employee_Name",Employees[#Headers],0))</f>
        <v>มนัสวี ธรรมรักษ์</v>
      </c>
      <c r="L109" s="4" t="str">
        <f>INDEX(Employees[#All],MATCH(Top10_Profit15[[#This Row],[Employee]],Employees[[#All],[Employee_Name]],0),MATCH(Top10_Sales14[[#Headers],[Department]],Employees[#Headers],0))</f>
        <v>Operations</v>
      </c>
      <c r="M109" s="31">
        <f>INDEX(Employees[#All],MATCH(Top10_Profit15[[#This Row],[Employee]],Employees[[#All],[Employee_Name]],0),MATCH(Top10_Profit15[[#Headers],[Profit]],Employees[#Headers],0))</f>
        <v>164000</v>
      </c>
    </row>
    <row r="110" spans="1:13" ht="20.100000000000001" customHeight="1" x14ac:dyDescent="0.25">
      <c r="E110" s="94">
        <v>3</v>
      </c>
      <c r="F110" s="95" t="str">
        <f>INDEX(Employees[#All],MATCH(LARGE(Employees[Net_Sales],Top10_Sales14[[#This Row],[Rank_Sales]]),Employees[[#All],[Net_Sales]],0),MATCH("Employee_Name",Employees[#Headers],0))</f>
        <v>วรเมธ กาญจนวัฒน์</v>
      </c>
      <c r="G110" s="6" t="str">
        <f>INDEX(Employees[#All],MATCH(Top10_Sales14[[#This Row],[Employee]],Employees[[#All],[Employee_Name]],0),MATCH(Top10_Sales14[[#Headers],[Department]],Employees[#Headers],0))</f>
        <v>Sales</v>
      </c>
      <c r="H110" s="29">
        <f>INDEX(Employees[#All],MATCH(Top10_Sales14[[#This Row],[Employee]],Employees[[#All],[Employee_Name]],0),MATCH("Net_Sales",Employees[#Headers],0))</f>
        <v>849330</v>
      </c>
      <c r="J110" s="94">
        <v>3</v>
      </c>
      <c r="K110" s="95" t="str">
        <f>INDEX(Employees[#All],MATCH(LARGE(Employees[Profit],Top10_Profit15[[#This Row],[Rank_Profit]]),Employees[[#All],[Profit]],0),MATCH("Employee_Name",Employees[#Headers],0))</f>
        <v>ชญานิศ พิบูลย์</v>
      </c>
      <c r="L110" s="4" t="str">
        <f>INDEX(Employees[#All],MATCH(Top10_Profit15[[#This Row],[Employee]],Employees[[#All],[Employee_Name]],0),MATCH(Top10_Sales14[[#Headers],[Department]],Employees[#Headers],0))</f>
        <v>Operations</v>
      </c>
      <c r="M110" s="31">
        <f>INDEX(Employees[#All],MATCH(Top10_Profit15[[#This Row],[Employee]],Employees[[#All],[Employee_Name]],0),MATCH(Top10_Profit15[[#Headers],[Profit]],Employees[#Headers],0))</f>
        <v>153920</v>
      </c>
    </row>
    <row r="111" spans="1:13" ht="20.100000000000001" customHeight="1" x14ac:dyDescent="0.25">
      <c r="E111" s="94">
        <v>4</v>
      </c>
      <c r="F111" s="95" t="str">
        <f>INDEX(Employees[#All],MATCH(LARGE(Employees[Net_Sales],Top10_Sales14[[#This Row],[Rank_Sales]]),Employees[[#All],[Net_Sales]],0),MATCH("Employee_Name",Employees[#Headers],0))</f>
        <v>ศรัณย์ อินทรา</v>
      </c>
      <c r="G111" s="6" t="str">
        <f>INDEX(Employees[#All],MATCH(Top10_Sales14[[#This Row],[Employee]],Employees[[#All],[Employee_Name]],0),MATCH(Top10_Sales14[[#Headers],[Department]],Employees[#Headers],0))</f>
        <v>HR</v>
      </c>
      <c r="H111" s="29">
        <f>INDEX(Employees[#All],MATCH(Top10_Sales14[[#This Row],[Employee]],Employees[[#All],[Employee_Name]],0),MATCH("Net_Sales",Employees[#Headers],0))</f>
        <v>796160</v>
      </c>
      <c r="J111" s="94">
        <v>4</v>
      </c>
      <c r="K111" s="95" t="str">
        <f>INDEX(Employees[#All],MATCH(LARGE(Employees[Profit],Top10_Profit15[[#This Row],[Rank_Profit]]),Employees[[#All],[Profit]],0),MATCH("Employee_Name",Employees[#Headers],0))</f>
        <v>ศรัณย์ อินทรา</v>
      </c>
      <c r="L111" s="4" t="str">
        <f>INDEX(Employees[#All],MATCH(Top10_Profit15[[#This Row],[Employee]],Employees[[#All],[Employee_Name]],0),MATCH(Top10_Sales14[[#Headers],[Department]],Employees[#Headers],0))</f>
        <v>HR</v>
      </c>
      <c r="M111" s="31">
        <f>INDEX(Employees[#All],MATCH(Top10_Profit15[[#This Row],[Employee]],Employees[[#All],[Employee_Name]],0),MATCH(Top10_Profit15[[#Headers],[Profit]],Employees[#Headers],0))</f>
        <v>143160</v>
      </c>
    </row>
    <row r="112" spans="1:13" ht="20.100000000000001" customHeight="1" x14ac:dyDescent="0.25">
      <c r="E112" s="94">
        <v>5</v>
      </c>
      <c r="F112" s="95" t="str">
        <f>INDEX(Employees[#All],MATCH(LARGE(Employees[Net_Sales],Top10_Sales14[[#This Row],[Rank_Sales]]),Employees[[#All],[Net_Sales]],0),MATCH("Employee_Name",Employees[#Headers],0))</f>
        <v>นราวิชญ์ รุ่งเรือง</v>
      </c>
      <c r="G112" s="6" t="str">
        <f>INDEX(Employees[#All],MATCH(Top10_Sales14[[#This Row],[Employee]],Employees[[#All],[Employee_Name]],0),MATCH(Top10_Sales14[[#Headers],[Department]],Employees[#Headers],0))</f>
        <v>Sales</v>
      </c>
      <c r="H112" s="29">
        <f>INDEX(Employees[#All],MATCH(Top10_Sales14[[#This Row],[Employee]],Employees[[#All],[Employee_Name]],0),MATCH("Net_Sales",Employees[#Headers],0))</f>
        <v>721940</v>
      </c>
      <c r="J112" s="94">
        <v>5</v>
      </c>
      <c r="K112" s="95" t="str">
        <f>INDEX(Employees[#All],MATCH(LARGE(Employees[Profit],Top10_Profit15[[#This Row],[Rank_Profit]]),Employees[[#All],[Profit]],0),MATCH("Employee_Name",Employees[#Headers],0))</f>
        <v>ชยพล มณีรัตน์</v>
      </c>
      <c r="L112" s="4" t="str">
        <f>INDEX(Employees[#All],MATCH(Top10_Profit15[[#This Row],[Employee]],Employees[[#All],[Employee_Name]],0),MATCH(Top10_Sales14[[#Headers],[Department]],Employees[#Headers],0))</f>
        <v>Customer Service</v>
      </c>
      <c r="M112" s="31">
        <f>INDEX(Employees[#All],MATCH(Top10_Profit15[[#This Row],[Employee]],Employees[[#All],[Employee_Name]],0),MATCH(Top10_Profit15[[#Headers],[Profit]],Employees[#Headers],0))</f>
        <v>124400</v>
      </c>
    </row>
    <row r="113" spans="1:13" ht="20.100000000000001" customHeight="1" x14ac:dyDescent="0.25">
      <c r="E113" s="94">
        <v>6</v>
      </c>
      <c r="F113" s="95" t="str">
        <f>INDEX(Employees[#All],MATCH(LARGE(Employees[Net_Sales],Top10_Sales14[[#This Row],[Rank_Sales]]),Employees[[#All],[Net_Sales]],0),MATCH("Employee_Name",Employees[#Headers],0))</f>
        <v>มนัสวี ธรรมรักษ์</v>
      </c>
      <c r="G113" s="6" t="str">
        <f>INDEX(Employees[#All],MATCH(Top10_Sales14[[#This Row],[Employee]],Employees[[#All],[Employee_Name]],0),MATCH(Top10_Sales14[[#Headers],[Department]],Employees[#Headers],0))</f>
        <v>Operations</v>
      </c>
      <c r="H113" s="29">
        <f>INDEX(Employees[#All],MATCH(Top10_Sales14[[#This Row],[Employee]],Employees[[#All],[Employee_Name]],0),MATCH("Net_Sales",Employees[#Headers],0))</f>
        <v>663000</v>
      </c>
      <c r="J113" s="94">
        <v>6</v>
      </c>
      <c r="K113" s="95" t="str">
        <f>INDEX(Employees[#All],MATCH(LARGE(Employees[Profit],Top10_Profit15[[#This Row],[Rank_Profit]]),Employees[[#All],[Profit]],0),MATCH("Employee_Name",Employees[#Headers],0))</f>
        <v>นราวิชญ์ รุ่งเรือง</v>
      </c>
      <c r="L113" s="4" t="str">
        <f>INDEX(Employees[#All],MATCH(Top10_Profit15[[#This Row],[Employee]],Employees[[#All],[Employee_Name]],0),MATCH(Top10_Sales14[[#Headers],[Department]],Employees[#Headers],0))</f>
        <v>Sales</v>
      </c>
      <c r="M113" s="31">
        <f>INDEX(Employees[#All],MATCH(Top10_Profit15[[#This Row],[Employee]],Employees[[#All],[Employee_Name]],0),MATCH(Top10_Profit15[[#Headers],[Profit]],Employees[#Headers],0))</f>
        <v>123040</v>
      </c>
    </row>
    <row r="114" spans="1:13" ht="20.100000000000001" customHeight="1" x14ac:dyDescent="0.25">
      <c r="E114" s="94">
        <v>7</v>
      </c>
      <c r="F114" s="95" t="str">
        <f>INDEX(Employees[#All],MATCH(LARGE(Employees[Net_Sales],Top10_Sales14[[#This Row],[Rank_Sales]]),Employees[[#All],[Net_Sales]],0),MATCH("Employee_Name",Employees[#Headers],0))</f>
        <v>พัชราภา วงศ์วัฒนะ</v>
      </c>
      <c r="G114" s="6" t="str">
        <f>INDEX(Employees[#All],MATCH(Top10_Sales14[[#This Row],[Employee]],Employees[[#All],[Employee_Name]],0),MATCH(Top10_Sales14[[#Headers],[Department]],Employees[#Headers],0))</f>
        <v>Sales</v>
      </c>
      <c r="H114" s="29">
        <f>INDEX(Employees[#All],MATCH(Top10_Sales14[[#This Row],[Employee]],Employees[[#All],[Employee_Name]],0),MATCH("Net_Sales",Employees[#Headers],0))</f>
        <v>649800</v>
      </c>
      <c r="J114" s="94">
        <v>7</v>
      </c>
      <c r="K114" s="95" t="str">
        <f>INDEX(Employees[#All],MATCH(LARGE(Employees[Profit],Top10_Profit15[[#This Row],[Rank_Profit]]),Employees[[#All],[Profit]],0),MATCH("Employee_Name",Employees[#Headers],0))</f>
        <v>พัชราภา วงศ์วัฒนะ</v>
      </c>
      <c r="L114" s="4" t="str">
        <f>INDEX(Employees[#All],MATCH(Top10_Profit15[[#This Row],[Employee]],Employees[[#All],[Employee_Name]],0),MATCH(Top10_Sales14[[#Headers],[Department]],Employees[#Headers],0))</f>
        <v>Sales</v>
      </c>
      <c r="M114" s="31">
        <f>INDEX(Employees[#All],MATCH(Top10_Profit15[[#This Row],[Employee]],Employees[[#All],[Employee_Name]],0),MATCH(Top10_Profit15[[#Headers],[Profit]],Employees[#Headers],0))</f>
        <v>109800</v>
      </c>
    </row>
    <row r="115" spans="1:13" ht="20.100000000000001" customHeight="1" x14ac:dyDescent="0.25">
      <c r="E115" s="94">
        <v>8</v>
      </c>
      <c r="F115" s="95" t="str">
        <f>INDEX(Employees[#All],MATCH(LARGE(Employees[Net_Sales],Top10_Sales14[[#This Row],[Rank_Sales]]),Employees[[#All],[Net_Sales]],0),MATCH("Employee_Name",Employees[#Headers],0))</f>
        <v>ชยพล มณีรัตน์</v>
      </c>
      <c r="G115" s="6" t="str">
        <f>INDEX(Employees[#All],MATCH(Top10_Sales14[[#This Row],[Employee]],Employees[[#All],[Employee_Name]],0),MATCH(Top10_Sales14[[#Headers],[Department]],Employees[#Headers],0))</f>
        <v>Customer Service</v>
      </c>
      <c r="H115" s="29">
        <f>INDEX(Employees[#All],MATCH(Top10_Sales14[[#This Row],[Employee]],Employees[[#All],[Employee_Name]],0),MATCH("Net_Sales",Employees[#Headers],0))</f>
        <v>612000</v>
      </c>
      <c r="J115" s="94">
        <v>8</v>
      </c>
      <c r="K115" s="95" t="str">
        <f>INDEX(Employees[#All],MATCH(LARGE(Employees[Profit],Top10_Profit15[[#This Row],[Rank_Profit]]),Employees[[#All],[Profit]],0),MATCH("Employee_Name",Employees[#Headers],0))</f>
        <v>อริสรา ไพศาล</v>
      </c>
      <c r="L115" s="4" t="str">
        <f>INDEX(Employees[#All],MATCH(Top10_Profit15[[#This Row],[Employee]],Employees[[#All],[Employee_Name]],0),MATCH(Top10_Sales14[[#Headers],[Department]],Employees[#Headers],0))</f>
        <v>Sales</v>
      </c>
      <c r="M115" s="31">
        <f>INDEX(Employees[#All],MATCH(Top10_Profit15[[#This Row],[Employee]],Employees[[#All],[Employee_Name]],0),MATCH(Top10_Profit15[[#Headers],[Profit]],Employees[#Headers],0))</f>
        <v>104000</v>
      </c>
    </row>
    <row r="116" spans="1:13" ht="20.100000000000001" customHeight="1" x14ac:dyDescent="0.25">
      <c r="E116" s="94">
        <v>9</v>
      </c>
      <c r="F116" s="95" t="str">
        <f>INDEX(Employees[#All],MATCH(LARGE(Employees[Net_Sales],Top10_Sales14[[#This Row],[Rank_Sales]]),Employees[[#All],[Net_Sales]],0),MATCH("Employee_Name",Employees[#Headers],0))</f>
        <v>สิรภพ เจริญพร</v>
      </c>
      <c r="G116" s="6" t="str">
        <f>INDEX(Employees[#All],MATCH(Top10_Sales14[[#This Row],[Employee]],Employees[[#All],[Employee_Name]],0),MATCH(Top10_Sales14[[#Headers],[Department]],Employees[#Headers],0))</f>
        <v>Sales</v>
      </c>
      <c r="H116" s="29">
        <f>INDEX(Employees[#All],MATCH(Top10_Sales14[[#This Row],[Employee]],Employees[[#All],[Employee_Name]],0),MATCH("Net_Sales",Employees[#Headers],0))</f>
        <v>571568</v>
      </c>
      <c r="J116" s="94">
        <v>9</v>
      </c>
      <c r="K116" s="95" t="str">
        <f>INDEX(Employees[#All],MATCH(LARGE(Employees[Profit],Top10_Profit15[[#This Row],[Rank_Profit]]),Employees[[#All],[Profit]],0),MATCH("Employee_Name",Employees[#Headers],0))</f>
        <v>สิรภพ เจริญพร</v>
      </c>
      <c r="L116" s="4" t="str">
        <f>INDEX(Employees[#All],MATCH(Top10_Profit15[[#This Row],[Employee]],Employees[[#All],[Employee_Name]],0),MATCH(Top10_Sales14[[#Headers],[Department]],Employees[#Headers],0))</f>
        <v>Sales</v>
      </c>
      <c r="M116" s="31">
        <f>INDEX(Employees[#All],MATCH(Top10_Profit15[[#This Row],[Employee]],Employees[[#All],[Employee_Name]],0),MATCH(Top10_Profit15[[#Headers],[Profit]],Employees[#Headers],0))</f>
        <v>99768</v>
      </c>
    </row>
    <row r="117" spans="1:13" ht="20.100000000000001" customHeight="1" x14ac:dyDescent="0.25">
      <c r="E117" s="96">
        <v>10</v>
      </c>
      <c r="F117" s="97" t="str">
        <f>INDEX(Employees[#All],MATCH(LARGE(Employees[Net_Sales],Top10_Sales14[[#This Row],[Rank_Sales]]),Employees[[#All],[Net_Sales]],0),MATCH("Employee_Name",Employees[#Headers],0))</f>
        <v>ชุติมา รุ่งเรือง</v>
      </c>
      <c r="G117" s="6" t="str">
        <f>INDEX(Employees[#All],MATCH(Top10_Sales14[[#This Row],[Employee]],Employees[[#All],[Employee_Name]],0),MATCH(Top10_Sales14[[#Headers],[Department]],Employees[#Headers],0))</f>
        <v>Operations</v>
      </c>
      <c r="H117" s="30">
        <f>INDEX(Employees[#All],MATCH(Top10_Sales14[[#This Row],[Employee]],Employees[[#All],[Employee_Name]],0),MATCH("Net_Sales",Employees[#Headers],0))</f>
        <v>546380</v>
      </c>
      <c r="J117" s="96">
        <v>10</v>
      </c>
      <c r="K117" s="97" t="str">
        <f>INDEX(Employees[#All],MATCH(LARGE(Employees[Profit],Top10_Profit15[[#This Row],[Rank_Profit]]),Employees[[#All],[Profit]],0),MATCH("Employee_Name",Employees[#Headers],0))</f>
        <v>ชุติมา รุ่งเรือง</v>
      </c>
      <c r="L117" s="4" t="str">
        <f>INDEX(Employees[#All],MATCH(Top10_Profit15[[#This Row],[Employee]],Employees[[#All],[Employee_Name]],0),MATCH(Top10_Sales14[[#Headers],[Department]],Employees[#Headers],0))</f>
        <v>Operations</v>
      </c>
      <c r="M117" s="31">
        <f>INDEX(Employees[#All],MATCH(Top10_Profit15[[#This Row],[Employee]],Employees[[#All],[Employee_Name]],0),MATCH(Top10_Profit15[[#Headers],[Profit]],Employees[#Headers],0))</f>
        <v>87380</v>
      </c>
    </row>
    <row r="118" spans="1:13" ht="20.100000000000001" customHeight="1" x14ac:dyDescent="0.25">
      <c r="E118" s="17"/>
      <c r="F118" s="6"/>
      <c r="G118" s="4"/>
      <c r="H118" s="4"/>
      <c r="J118" s="100"/>
      <c r="K118" s="40"/>
      <c r="L118" s="7"/>
      <c r="M118" s="33"/>
    </row>
    <row r="119" spans="1:13" ht="20.100000000000001" customHeight="1" x14ac:dyDescent="0.25">
      <c r="E119" s="101" t="s">
        <v>769</v>
      </c>
      <c r="F119" s="6"/>
      <c r="G119" s="4"/>
      <c r="H119" s="4"/>
      <c r="J119" s="101" t="s">
        <v>769</v>
      </c>
      <c r="K119" s="40"/>
      <c r="L119" s="7"/>
      <c r="M119" s="33"/>
    </row>
    <row r="124" spans="1:13" ht="20.100000000000001" customHeight="1" x14ac:dyDescent="0.25">
      <c r="A124" s="67" t="s">
        <v>761</v>
      </c>
      <c r="B124" s="72" t="s">
        <v>636</v>
      </c>
    </row>
    <row r="125" spans="1:13" ht="20.100000000000001" customHeight="1" x14ac:dyDescent="0.25">
      <c r="B125" s="72" t="s">
        <v>637</v>
      </c>
    </row>
    <row r="126" spans="1:13" ht="20.100000000000001" customHeight="1" x14ac:dyDescent="0.25">
      <c r="B126" s="72"/>
    </row>
    <row r="128" spans="1:13" ht="20.100000000000001" customHeight="1" x14ac:dyDescent="0.25">
      <c r="B128" s="68" t="s">
        <v>774</v>
      </c>
    </row>
    <row r="129" spans="2:8" ht="20.100000000000001" customHeight="1" x14ac:dyDescent="0.25">
      <c r="B129" s="101" t="s">
        <v>775</v>
      </c>
    </row>
    <row r="130" spans="2:8" ht="20.100000000000001" customHeight="1" x14ac:dyDescent="0.25">
      <c r="B130" s="111"/>
    </row>
    <row r="131" spans="2:8" ht="20.100000000000001" customHeight="1" x14ac:dyDescent="0.25">
      <c r="B131" s="68" t="s">
        <v>773</v>
      </c>
    </row>
    <row r="132" spans="2:8" ht="20.100000000000001" customHeight="1" x14ac:dyDescent="0.25">
      <c r="B132" s="101" t="s">
        <v>776</v>
      </c>
    </row>
    <row r="137" spans="2:8" ht="20.100000000000001" customHeight="1" x14ac:dyDescent="0.25">
      <c r="B137" s="72" t="s">
        <v>638</v>
      </c>
    </row>
    <row r="140" spans="2:8" ht="20.100000000000001" customHeight="1" x14ac:dyDescent="0.25">
      <c r="H140" s="68" t="s">
        <v>778</v>
      </c>
    </row>
    <row r="141" spans="2:8" ht="20.100000000000001" customHeight="1" x14ac:dyDescent="0.25">
      <c r="H141" s="101" t="s">
        <v>779</v>
      </c>
    </row>
    <row r="151" spans="2:10" ht="20.100000000000001" customHeight="1" x14ac:dyDescent="0.25">
      <c r="B151" s="72" t="s">
        <v>639</v>
      </c>
      <c r="G151" s="6"/>
      <c r="H151" s="4"/>
    </row>
    <row r="152" spans="2:10" ht="20.100000000000001" customHeight="1" x14ac:dyDescent="0.25">
      <c r="F152" s="17"/>
      <c r="G152" s="6"/>
      <c r="H152" s="4"/>
    </row>
    <row r="153" spans="2:10" ht="20.100000000000001" customHeight="1" x14ac:dyDescent="0.25">
      <c r="F153" s="117" t="s">
        <v>479</v>
      </c>
      <c r="G153" s="118" t="s">
        <v>608</v>
      </c>
      <c r="H153" s="118" t="s">
        <v>663</v>
      </c>
      <c r="I153" s="131" t="s">
        <v>783</v>
      </c>
      <c r="J153" s="138"/>
    </row>
    <row r="154" spans="2:10" ht="20.100000000000001" customHeight="1" x14ac:dyDescent="0.25">
      <c r="B154" s="13" t="s">
        <v>782</v>
      </c>
      <c r="C154" s="13" t="str">
        <f>COUNTA(Table1019[Employee_Name]) &amp; " คน"</f>
        <v>50 คน</v>
      </c>
      <c r="F154" s="4" t="s">
        <v>484</v>
      </c>
      <c r="G154" s="128">
        <f>INDEX(Performance[#All],MATCH(Table1019[[#This Row],[Employee_Name]],Performance[[#All],[Employee_Name]],0),MATCH(Table1019[[#Headers],[Overall_Score]],Performance[#Headers],0))</f>
        <v>97.7</v>
      </c>
      <c r="H154" s="129">
        <f>INDEX(Performance[#All],MATCH(Table1019[[#This Row],[Employee_Name]],Performance[[#All],[Employee_Name]],0),MATCH(Table1019[[#Headers],[Target_Attainment]],Performance[#Headers],0))</f>
        <v>1.0818749999999999</v>
      </c>
      <c r="I154" s="132">
        <f>((Table1019[[#This Row],[Target_Attainment]])*100)-Table1019[[#This Row],[Overall_Score]]</f>
        <v>10.487499999999983</v>
      </c>
    </row>
    <row r="155" spans="2:10" ht="20.100000000000001" customHeight="1" x14ac:dyDescent="0.25">
      <c r="F155" s="4" t="s">
        <v>490</v>
      </c>
      <c r="G155" s="100">
        <f>INDEX(Performance[#All],MATCH(Table1019[[#This Row],[Employee_Name]],Performance[[#All],[Employee_Name]],0),MATCH(Table1019[[#Headers],[Overall_Score]],Performance[#Headers],0))</f>
        <v>94.8</v>
      </c>
      <c r="H155" s="130">
        <f>INDEX(Performance[#All],MATCH(Table1019[[#This Row],[Employee_Name]],Performance[[#All],[Employee_Name]],0),MATCH(Table1019[[#Headers],[Target_Attainment]],Performance[#Headers],0))</f>
        <v>1.0605769230769231</v>
      </c>
      <c r="I155" s="132">
        <f>((Table1019[[#This Row],[Target_Attainment]])*100)-Table1019[[#This Row],[Overall_Score]]</f>
        <v>11.257692307692309</v>
      </c>
    </row>
    <row r="156" spans="2:10" ht="20.100000000000001" customHeight="1" x14ac:dyDescent="0.25">
      <c r="F156" s="4" t="s">
        <v>492</v>
      </c>
      <c r="G156" s="100">
        <f>INDEX(Performance[#All],MATCH(Table1019[[#This Row],[Employee_Name]],Performance[[#All],[Employee_Name]],0),MATCH(Table1019[[#Headers],[Overall_Score]],Performance[#Headers],0))</f>
        <v>99.9</v>
      </c>
      <c r="H156" s="130">
        <f>INDEX(Performance[#All],MATCH(Table1019[[#This Row],[Employee_Name]],Performance[[#All],[Employee_Name]],0),MATCH(Table1019[[#Headers],[Target_Attainment]],Performance[#Headers],0))</f>
        <v>1.2070833333333333</v>
      </c>
      <c r="I156" s="132">
        <f>((Table1019[[#This Row],[Target_Attainment]])*100)-Table1019[[#This Row],[Overall_Score]]</f>
        <v>20.808333333333323</v>
      </c>
    </row>
    <row r="157" spans="2:10" ht="20.100000000000001" customHeight="1" x14ac:dyDescent="0.25">
      <c r="B157" s="140" t="s">
        <v>786</v>
      </c>
      <c r="F157" s="4" t="s">
        <v>494</v>
      </c>
      <c r="G157" s="100">
        <f>INDEX(Performance[#All],MATCH(Table1019[[#This Row],[Employee_Name]],Performance[[#All],[Employee_Name]],0),MATCH(Table1019[[#Headers],[Overall_Score]],Performance[#Headers],0))</f>
        <v>100</v>
      </c>
      <c r="H157" s="130">
        <f>INDEX(Performance[#All],MATCH(Table1019[[#This Row],[Employee_Name]],Performance[[#All],[Employee_Name]],0),MATCH(Table1019[[#Headers],[Target_Attainment]],Performance[#Headers],0))</f>
        <v>1.2866666666666666</v>
      </c>
      <c r="I157" s="132">
        <f>((Table1019[[#This Row],[Target_Attainment]])*100)-Table1019[[#This Row],[Overall_Score]]</f>
        <v>28.666666666666657</v>
      </c>
    </row>
    <row r="158" spans="2:10" ht="20.100000000000001" customHeight="1" x14ac:dyDescent="0.25">
      <c r="B158" s="139" t="s">
        <v>587</v>
      </c>
      <c r="F158" s="4" t="s">
        <v>496</v>
      </c>
      <c r="G158" s="100">
        <f>INDEX(Performance[#All],MATCH(Table1019[[#This Row],[Employee_Name]],Performance[[#All],[Employee_Name]],0),MATCH(Table1019[[#Headers],[Overall_Score]],Performance[#Headers],0))</f>
        <v>94.7</v>
      </c>
      <c r="H158" s="130">
        <f>INDEX(Performance[#All],MATCH(Table1019[[#This Row],[Employee_Name]],Performance[[#All],[Employee_Name]],0),MATCH(Table1019[[#Headers],[Target_Attainment]],Performance[#Headers],0))</f>
        <v>1.1071681415929204</v>
      </c>
      <c r="I158" s="132">
        <f>((Table1019[[#This Row],[Target_Attainment]])*100)-Table1019[[#This Row],[Overall_Score]]</f>
        <v>16.016814159292039</v>
      </c>
    </row>
    <row r="159" spans="2:10" ht="20.100000000000001" customHeight="1" x14ac:dyDescent="0.25">
      <c r="F159" s="4" t="s">
        <v>499</v>
      </c>
      <c r="G159" s="100">
        <f>INDEX(Performance[#All],MATCH(Table1019[[#This Row],[Employee_Name]],Performance[[#All],[Employee_Name]],0),MATCH(Table1019[[#Headers],[Overall_Score]],Performance[#Headers],0))</f>
        <v>93.1</v>
      </c>
      <c r="H159" s="130">
        <f>INDEX(Performance[#All],MATCH(Table1019[[#This Row],[Employee_Name]],Performance[[#All],[Employee_Name]],0),MATCH(Table1019[[#Headers],[Target_Attainment]],Performance[#Headers],0))</f>
        <v>1.0114285714285713</v>
      </c>
      <c r="I159" s="132">
        <f>((Table1019[[#This Row],[Target_Attainment]])*100)-Table1019[[#This Row],[Overall_Score]]</f>
        <v>8.0428571428571445</v>
      </c>
    </row>
    <row r="160" spans="2:10" ht="20.100000000000001" customHeight="1" x14ac:dyDescent="0.25">
      <c r="F160" s="4" t="s">
        <v>500</v>
      </c>
      <c r="G160" s="100">
        <f>INDEX(Performance[#All],MATCH(Table1019[[#This Row],[Employee_Name]],Performance[[#All],[Employee_Name]],0),MATCH(Table1019[[#Headers],[Overall_Score]],Performance[#Headers],0))</f>
        <v>100</v>
      </c>
      <c r="H160" s="130">
        <f>INDEX(Performance[#All],MATCH(Table1019[[#This Row],[Employee_Name]],Performance[[#All],[Employee_Name]],0),MATCH(Table1019[[#Headers],[Target_Attainment]],Performance[#Headers],0))</f>
        <v>1.2498198198198198</v>
      </c>
      <c r="I160" s="132">
        <f>((Table1019[[#This Row],[Target_Attainment]])*100)-Table1019[[#This Row],[Overall_Score]]</f>
        <v>24.981981981981988</v>
      </c>
    </row>
    <row r="161" spans="6:9" ht="20.100000000000001" customHeight="1" x14ac:dyDescent="0.25">
      <c r="F161" s="4" t="s">
        <v>502</v>
      </c>
      <c r="G161" s="100">
        <f>INDEX(Performance[#All],MATCH(Table1019[[#This Row],[Employee_Name]],Performance[[#All],[Employee_Name]],0),MATCH(Table1019[[#Headers],[Overall_Score]],Performance[#Headers],0))</f>
        <v>100</v>
      </c>
      <c r="H161" s="130">
        <f>INDEX(Performance[#All],MATCH(Table1019[[#This Row],[Employee_Name]],Performance[[#All],[Employee_Name]],0),MATCH(Table1019[[#Headers],[Target_Attainment]],Performance[#Headers],0))</f>
        <v>1.2497590361445783</v>
      </c>
      <c r="I161" s="132">
        <f>((Table1019[[#This Row],[Target_Attainment]])*100)-Table1019[[#This Row],[Overall_Score]]</f>
        <v>24.975903614457835</v>
      </c>
    </row>
    <row r="162" spans="6:9" ht="20.100000000000001" customHeight="1" x14ac:dyDescent="0.25">
      <c r="F162" s="4" t="s">
        <v>503</v>
      </c>
      <c r="G162" s="100">
        <f>INDEX(Performance[#All],MATCH(Table1019[[#This Row],[Employee_Name]],Performance[[#All],[Employee_Name]],0),MATCH(Table1019[[#Headers],[Overall_Score]],Performance[#Headers],0))</f>
        <v>90.6</v>
      </c>
      <c r="H162" s="130">
        <f>INDEX(Performance[#All],MATCH(Table1019[[#This Row],[Employee_Name]],Performance[[#All],[Employee_Name]],0),MATCH(Table1019[[#Headers],[Target_Attainment]],Performance[#Headers],0))</f>
        <v>1.1056164383561644</v>
      </c>
      <c r="I162" s="132">
        <f>((Table1019[[#This Row],[Target_Attainment]])*100)-Table1019[[#This Row],[Overall_Score]]</f>
        <v>19.961643835616442</v>
      </c>
    </row>
    <row r="163" spans="6:9" ht="20.100000000000001" customHeight="1" x14ac:dyDescent="0.25">
      <c r="F163" s="4" t="s">
        <v>506</v>
      </c>
      <c r="G163" s="100">
        <f>INDEX(Performance[#All],MATCH(Table1019[[#This Row],[Employee_Name]],Performance[[#All],[Employee_Name]],0),MATCH(Table1019[[#Headers],[Overall_Score]],Performance[#Headers],0))</f>
        <v>88.5</v>
      </c>
      <c r="H163" s="130">
        <f>INDEX(Performance[#All],MATCH(Table1019[[#This Row],[Employee_Name]],Performance[[#All],[Employee_Name]],0),MATCH(Table1019[[#Headers],[Target_Attainment]],Performance[#Headers],0))</f>
        <v>1.0954545454545455</v>
      </c>
      <c r="I163" s="132">
        <f>((Table1019[[#This Row],[Target_Attainment]])*100)-Table1019[[#This Row],[Overall_Score]]</f>
        <v>21.045454545454547</v>
      </c>
    </row>
    <row r="164" spans="6:9" ht="20.100000000000001" customHeight="1" x14ac:dyDescent="0.25">
      <c r="F164" s="4" t="s">
        <v>508</v>
      </c>
      <c r="G164" s="100">
        <f>INDEX(Performance[#All],MATCH(Table1019[[#This Row],[Employee_Name]],Performance[[#All],[Employee_Name]],0),MATCH(Table1019[[#Headers],[Overall_Score]],Performance[#Headers],0))</f>
        <v>93.1</v>
      </c>
      <c r="H164" s="130">
        <f>INDEX(Performance[#All],MATCH(Table1019[[#This Row],[Employee_Name]],Performance[[#All],[Employee_Name]],0),MATCH(Table1019[[#Headers],[Target_Attainment]],Performance[#Headers],0))</f>
        <v>1.1617045454545454</v>
      </c>
      <c r="I164" s="132">
        <f>((Table1019[[#This Row],[Target_Attainment]])*100)-Table1019[[#This Row],[Overall_Score]]</f>
        <v>23.070454545454538</v>
      </c>
    </row>
    <row r="165" spans="6:9" ht="20.100000000000001" customHeight="1" x14ac:dyDescent="0.25">
      <c r="F165" s="4" t="s">
        <v>509</v>
      </c>
      <c r="G165" s="100">
        <f>INDEX(Performance[#All],MATCH(Table1019[[#This Row],[Employee_Name]],Performance[[#All],[Employee_Name]],0),MATCH(Table1019[[#Headers],[Overall_Score]],Performance[#Headers],0))</f>
        <v>91.4</v>
      </c>
      <c r="H165" s="130">
        <f>INDEX(Performance[#All],MATCH(Table1019[[#This Row],[Employee_Name]],Performance[[#All],[Employee_Name]],0),MATCH(Table1019[[#Headers],[Target_Attainment]],Performance[#Headers],0))</f>
        <v>1.0055434782608696</v>
      </c>
      <c r="I165" s="132">
        <f>((Table1019[[#This Row],[Target_Attainment]])*100)-Table1019[[#This Row],[Overall_Score]]</f>
        <v>9.154347826086962</v>
      </c>
    </row>
    <row r="166" spans="6:9" ht="20.100000000000001" customHeight="1" x14ac:dyDescent="0.25">
      <c r="F166" s="4" t="s">
        <v>517</v>
      </c>
      <c r="G166" s="100">
        <f>INDEX(Performance[#All],MATCH(Table1019[[#This Row],[Employee_Name]],Performance[[#All],[Employee_Name]],0),MATCH(Table1019[[#Headers],[Overall_Score]],Performance[#Headers],0))</f>
        <v>94.8</v>
      </c>
      <c r="H166" s="130">
        <f>INDEX(Performance[#All],MATCH(Table1019[[#This Row],[Employee_Name]],Performance[[#All],[Employee_Name]],0),MATCH(Table1019[[#Headers],[Target_Attainment]],Performance[#Headers],0))</f>
        <v>1.0563865546218487</v>
      </c>
      <c r="I166" s="132">
        <f>((Table1019[[#This Row],[Target_Attainment]])*100)-Table1019[[#This Row],[Overall_Score]]</f>
        <v>10.838655462184875</v>
      </c>
    </row>
    <row r="167" spans="6:9" ht="20.100000000000001" customHeight="1" x14ac:dyDescent="0.25">
      <c r="F167" s="4" t="s">
        <v>518</v>
      </c>
      <c r="G167" s="100">
        <f>INDEX(Performance[#All],MATCH(Table1019[[#This Row],[Employee_Name]],Performance[[#All],[Employee_Name]],0),MATCH(Table1019[[#Headers],[Overall_Score]],Performance[#Headers],0))</f>
        <v>99</v>
      </c>
      <c r="H167" s="130">
        <f>INDEX(Performance[#All],MATCH(Table1019[[#This Row],[Employee_Name]],Performance[[#All],[Employee_Name]],0),MATCH(Table1019[[#Headers],[Target_Attainment]],Performance[#Headers],0))</f>
        <v>1.107938144329897</v>
      </c>
      <c r="I167" s="132">
        <f>((Table1019[[#This Row],[Target_Attainment]])*100)-Table1019[[#This Row],[Overall_Score]]</f>
        <v>11.793814432989706</v>
      </c>
    </row>
    <row r="168" spans="6:9" ht="20.100000000000001" customHeight="1" x14ac:dyDescent="0.25">
      <c r="F168" s="4" t="s">
        <v>519</v>
      </c>
      <c r="G168" s="100">
        <f>INDEX(Performance[#All],MATCH(Table1019[[#This Row],[Employee_Name]],Performance[[#All],[Employee_Name]],0),MATCH(Table1019[[#Headers],[Overall_Score]],Performance[#Headers],0))</f>
        <v>98.6</v>
      </c>
      <c r="H168" s="130">
        <f>INDEX(Performance[#All],MATCH(Table1019[[#This Row],[Employee_Name]],Performance[[#All],[Employee_Name]],0),MATCH(Table1019[[#Headers],[Target_Attainment]],Performance[#Headers],0))</f>
        <v>1.1579629629629629</v>
      </c>
      <c r="I168" s="132">
        <f>((Table1019[[#This Row],[Target_Attainment]])*100)-Table1019[[#This Row],[Overall_Score]]</f>
        <v>17.196296296296296</v>
      </c>
    </row>
    <row r="169" spans="6:9" ht="20.100000000000001" customHeight="1" x14ac:dyDescent="0.25">
      <c r="F169" s="4" t="s">
        <v>521</v>
      </c>
      <c r="G169" s="128">
        <f>INDEX(Performance[#All],MATCH(Table1019[[#This Row],[Employee_Name]],Performance[[#All],[Employee_Name]],0),MATCH(Table1019[[#Headers],[Overall_Score]],Performance[#Headers],0))</f>
        <v>98.4</v>
      </c>
      <c r="H169" s="129">
        <f>INDEX(Performance[#All],MATCH(Table1019[[#This Row],[Employee_Name]],Performance[[#All],[Employee_Name]],0),MATCH(Table1019[[#Headers],[Target_Attainment]],Performance[#Headers],0))</f>
        <v>1.1076404494382022</v>
      </c>
      <c r="I169" s="132">
        <f>((Table1019[[#This Row],[Target_Attainment]])*100)-Table1019[[#This Row],[Overall_Score]]</f>
        <v>12.364044943820204</v>
      </c>
    </row>
    <row r="170" spans="6:9" ht="20.100000000000001" customHeight="1" x14ac:dyDescent="0.25">
      <c r="F170" s="4" t="s">
        <v>522</v>
      </c>
      <c r="G170" s="100">
        <f>INDEX(Performance[#All],MATCH(Table1019[[#This Row],[Employee_Name]],Performance[[#All],[Employee_Name]],0),MATCH(Table1019[[#Headers],[Overall_Score]],Performance[#Headers],0))</f>
        <v>89.7</v>
      </c>
      <c r="H170" s="130">
        <f>INDEX(Performance[#All],MATCH(Table1019[[#This Row],[Employee_Name]],Performance[[#All],[Employee_Name]],0),MATCH(Table1019[[#Headers],[Target_Attainment]],Performance[#Headers],0))</f>
        <v>1.0554320987654322</v>
      </c>
      <c r="I170" s="132">
        <f>((Table1019[[#This Row],[Target_Attainment]])*100)-Table1019[[#This Row],[Overall_Score]]</f>
        <v>15.843209876543213</v>
      </c>
    </row>
    <row r="171" spans="6:9" ht="20.100000000000001" customHeight="1" x14ac:dyDescent="0.25">
      <c r="F171" s="4" t="s">
        <v>528</v>
      </c>
      <c r="G171" s="100">
        <f>INDEX(Performance[#All],MATCH(Table1019[[#This Row],[Employee_Name]],Performance[[#All],[Employee_Name]],0),MATCH(Table1019[[#Headers],[Overall_Score]],Performance[#Headers],0))</f>
        <v>92.8</v>
      </c>
      <c r="H171" s="130">
        <f>INDEX(Performance[#All],MATCH(Table1019[[#This Row],[Employee_Name]],Performance[[#All],[Employee_Name]],0),MATCH(Table1019[[#Headers],[Target_Attainment]],Performance[#Headers],0))</f>
        <v>1.1088461538461538</v>
      </c>
      <c r="I171" s="132">
        <f>((Table1019[[#This Row],[Target_Attainment]])*100)-Table1019[[#This Row],[Overall_Score]]</f>
        <v>18.08461538461539</v>
      </c>
    </row>
    <row r="172" spans="6:9" ht="20.100000000000001" customHeight="1" x14ac:dyDescent="0.25">
      <c r="F172" s="4" t="s">
        <v>531</v>
      </c>
      <c r="G172" s="100">
        <f>INDEX(Performance[#All],MATCH(Table1019[[#This Row],[Employee_Name]],Performance[[#All],[Employee_Name]],0),MATCH(Table1019[[#Headers],[Overall_Score]],Performance[#Headers],0))</f>
        <v>100</v>
      </c>
      <c r="H172" s="130">
        <f>INDEX(Performance[#All],MATCH(Table1019[[#This Row],[Employee_Name]],Performance[[#All],[Employee_Name]],0),MATCH(Table1019[[#Headers],[Target_Attainment]],Performance[#Headers],0))</f>
        <v>1.1757377049180329</v>
      </c>
      <c r="I172" s="132">
        <f>((Table1019[[#This Row],[Target_Attainment]])*100)-Table1019[[#This Row],[Overall_Score]]</f>
        <v>17.573770491803288</v>
      </c>
    </row>
    <row r="173" spans="6:9" ht="20.100000000000001" customHeight="1" x14ac:dyDescent="0.25">
      <c r="F173" s="4" t="s">
        <v>533</v>
      </c>
      <c r="G173" s="100">
        <f>INDEX(Performance[#All],MATCH(Table1019[[#This Row],[Employee_Name]],Performance[[#All],[Employee_Name]],0),MATCH(Table1019[[#Headers],[Overall_Score]],Performance[#Headers],0))</f>
        <v>100</v>
      </c>
      <c r="H173" s="130">
        <f>INDEX(Performance[#All],MATCH(Table1019[[#This Row],[Employee_Name]],Performance[[#All],[Employee_Name]],0),MATCH(Table1019[[#Headers],[Target_Attainment]],Performance[#Headers],0))</f>
        <v>1.2696825396825397</v>
      </c>
      <c r="I173" s="132">
        <f>((Table1019[[#This Row],[Target_Attainment]])*100)-Table1019[[#This Row],[Overall_Score]]</f>
        <v>26.968253968253975</v>
      </c>
    </row>
    <row r="174" spans="6:9" ht="20.100000000000001" customHeight="1" x14ac:dyDescent="0.25">
      <c r="F174" s="4" t="s">
        <v>536</v>
      </c>
      <c r="G174" s="100">
        <f>INDEX(Performance[#All],MATCH(Table1019[[#This Row],[Employee_Name]],Performance[[#All],[Employee_Name]],0),MATCH(Table1019[[#Headers],[Overall_Score]],Performance[#Headers],0))</f>
        <v>98</v>
      </c>
      <c r="H174" s="130">
        <f>INDEX(Performance[#All],MATCH(Table1019[[#This Row],[Employee_Name]],Performance[[#All],[Employee_Name]],0),MATCH(Table1019[[#Headers],[Target_Attainment]],Performance[#Headers],0))</f>
        <v>1.0255421686746988</v>
      </c>
      <c r="I174" s="132">
        <f>((Table1019[[#This Row],[Target_Attainment]])*100)-Table1019[[#This Row],[Overall_Score]]</f>
        <v>4.5542168674698758</v>
      </c>
    </row>
    <row r="175" spans="6:9" ht="20.100000000000001" customHeight="1" x14ac:dyDescent="0.25">
      <c r="F175" s="4" t="s">
        <v>538</v>
      </c>
      <c r="G175" s="100">
        <f>INDEX(Performance[#All],MATCH(Table1019[[#This Row],[Employee_Name]],Performance[[#All],[Employee_Name]],0),MATCH(Table1019[[#Headers],[Overall_Score]],Performance[#Headers],0))</f>
        <v>96.3</v>
      </c>
      <c r="H175" s="130">
        <f>INDEX(Performance[#All],MATCH(Table1019[[#This Row],[Employee_Name]],Performance[[#All],[Employee_Name]],0),MATCH(Table1019[[#Headers],[Target_Attainment]],Performance[#Headers],0))</f>
        <v>1.1534328358208956</v>
      </c>
      <c r="I175" s="132">
        <f>((Table1019[[#This Row],[Target_Attainment]])*100)-Table1019[[#This Row],[Overall_Score]]</f>
        <v>19.043283582089558</v>
      </c>
    </row>
    <row r="176" spans="6:9" ht="20.100000000000001" customHeight="1" x14ac:dyDescent="0.25">
      <c r="F176" s="4" t="s">
        <v>540</v>
      </c>
      <c r="G176" s="100">
        <f>INDEX(Performance[#All],MATCH(Table1019[[#This Row],[Employee_Name]],Performance[[#All],[Employee_Name]],0),MATCH(Table1019[[#Headers],[Overall_Score]],Performance[#Headers],0))</f>
        <v>100</v>
      </c>
      <c r="H176" s="130">
        <f>INDEX(Performance[#All],MATCH(Table1019[[#This Row],[Employee_Name]],Performance[[#All],[Employee_Name]],0),MATCH(Table1019[[#Headers],[Target_Attainment]],Performance[#Headers],0))</f>
        <v>1.3070886075949366</v>
      </c>
      <c r="I176" s="132">
        <f>((Table1019[[#This Row],[Target_Attainment]])*100)-Table1019[[#This Row],[Overall_Score]]</f>
        <v>30.70886075949366</v>
      </c>
    </row>
    <row r="177" spans="6:9" ht="20.100000000000001" customHeight="1" x14ac:dyDescent="0.25">
      <c r="F177" s="4" t="s">
        <v>541</v>
      </c>
      <c r="G177" s="100">
        <f>INDEX(Performance[#All],MATCH(Table1019[[#This Row],[Employee_Name]],Performance[[#All],[Employee_Name]],0),MATCH(Table1019[[#Headers],[Overall_Score]],Performance[#Headers],0))</f>
        <v>92.7</v>
      </c>
      <c r="H177" s="130">
        <f>INDEX(Performance[#All],MATCH(Table1019[[#This Row],[Employee_Name]],Performance[[#All],[Employee_Name]],0),MATCH(Table1019[[#Headers],[Target_Attainment]],Performance[#Headers],0))</f>
        <v>1.0177941176470588</v>
      </c>
      <c r="I177" s="132">
        <f>((Table1019[[#This Row],[Target_Attainment]])*100)-Table1019[[#This Row],[Overall_Score]]</f>
        <v>9.0794117647058812</v>
      </c>
    </row>
    <row r="178" spans="6:9" ht="20.100000000000001" customHeight="1" x14ac:dyDescent="0.25">
      <c r="F178" s="4" t="s">
        <v>542</v>
      </c>
      <c r="G178" s="100">
        <f>INDEX(Performance[#All],MATCH(Table1019[[#This Row],[Employee_Name]],Performance[[#All],[Employee_Name]],0),MATCH(Table1019[[#Headers],[Overall_Score]],Performance[#Headers],0))</f>
        <v>95.7</v>
      </c>
      <c r="H178" s="130">
        <f>INDEX(Performance[#All],MATCH(Table1019[[#This Row],[Employee_Name]],Performance[[#All],[Employee_Name]],0),MATCH(Table1019[[#Headers],[Target_Attainment]],Performance[#Headers],0))</f>
        <v>1.1644776119402984</v>
      </c>
      <c r="I178" s="132">
        <f>((Table1019[[#This Row],[Target_Attainment]])*100)-Table1019[[#This Row],[Overall_Score]]</f>
        <v>20.747761194029835</v>
      </c>
    </row>
    <row r="179" spans="6:9" ht="20.100000000000001" customHeight="1" x14ac:dyDescent="0.25">
      <c r="F179" s="4" t="s">
        <v>543</v>
      </c>
      <c r="G179" s="100">
        <f>INDEX(Performance[#All],MATCH(Table1019[[#This Row],[Employee_Name]],Performance[[#All],[Employee_Name]],0),MATCH(Table1019[[#Headers],[Overall_Score]],Performance[#Headers],0))</f>
        <v>97.6</v>
      </c>
      <c r="H179" s="130">
        <f>INDEX(Performance[#All],MATCH(Table1019[[#This Row],[Employee_Name]],Performance[[#All],[Employee_Name]],0),MATCH(Table1019[[#Headers],[Target_Attainment]],Performance[#Headers],0))</f>
        <v>1.0757575757575757</v>
      </c>
      <c r="I179" s="132">
        <f>((Table1019[[#This Row],[Target_Attainment]])*100)-Table1019[[#This Row],[Overall_Score]]</f>
        <v>9.9757575757575694</v>
      </c>
    </row>
    <row r="180" spans="6:9" ht="20.100000000000001" customHeight="1" x14ac:dyDescent="0.25">
      <c r="F180" s="4" t="s">
        <v>545</v>
      </c>
      <c r="G180" s="100">
        <f>INDEX(Performance[#All],MATCH(Table1019[[#This Row],[Employee_Name]],Performance[[#All],[Employee_Name]],0),MATCH(Table1019[[#Headers],[Overall_Score]],Performance[#Headers],0))</f>
        <v>89.1</v>
      </c>
      <c r="H180" s="130">
        <f>INDEX(Performance[#All],MATCH(Table1019[[#This Row],[Employee_Name]],Performance[[#All],[Employee_Name]],0),MATCH(Table1019[[#Headers],[Target_Attainment]],Performance[#Headers],0))</f>
        <v>1.0045054945054945</v>
      </c>
      <c r="I180" s="132">
        <f>((Table1019[[#This Row],[Target_Attainment]])*100)-Table1019[[#This Row],[Overall_Score]]</f>
        <v>11.350549450549465</v>
      </c>
    </row>
    <row r="181" spans="6:9" ht="20.100000000000001" customHeight="1" x14ac:dyDescent="0.25">
      <c r="F181" s="4" t="s">
        <v>549</v>
      </c>
      <c r="G181" s="100">
        <f>INDEX(Performance[#All],MATCH(Table1019[[#This Row],[Employee_Name]],Performance[[#All],[Employee_Name]],0),MATCH(Table1019[[#Headers],[Overall_Score]],Performance[#Headers],0))</f>
        <v>100</v>
      </c>
      <c r="H181" s="130">
        <f>INDEX(Performance[#All],MATCH(Table1019[[#This Row],[Employee_Name]],Performance[[#All],[Employee_Name]],0),MATCH(Table1019[[#Headers],[Target_Attainment]],Performance[#Headers],0))</f>
        <v>1.3082191780821917</v>
      </c>
      <c r="I181" s="132">
        <f>((Table1019[[#This Row],[Target_Attainment]])*100)-Table1019[[#This Row],[Overall_Score]]</f>
        <v>30.821917808219155</v>
      </c>
    </row>
    <row r="182" spans="6:9" ht="20.100000000000001" customHeight="1" x14ac:dyDescent="0.25">
      <c r="F182" s="4" t="s">
        <v>556</v>
      </c>
      <c r="G182" s="100">
        <f>INDEX(Performance[#All],MATCH(Table1019[[#This Row],[Employee_Name]],Performance[[#All],[Employee_Name]],0),MATCH(Table1019[[#Headers],[Overall_Score]],Performance[#Headers],0))</f>
        <v>99.2</v>
      </c>
      <c r="H182" s="130">
        <f>INDEX(Performance[#All],MATCH(Table1019[[#This Row],[Employee_Name]],Performance[[#All],[Employee_Name]],0),MATCH(Table1019[[#Headers],[Target_Attainment]],Performance[#Headers],0))</f>
        <v>1.1619718309859155</v>
      </c>
      <c r="I182" s="132">
        <f>((Table1019[[#This Row],[Target_Attainment]])*100)-Table1019[[#This Row],[Overall_Score]]</f>
        <v>16.997183098591549</v>
      </c>
    </row>
    <row r="183" spans="6:9" ht="20.100000000000001" customHeight="1" x14ac:dyDescent="0.25">
      <c r="F183" s="4" t="s">
        <v>557</v>
      </c>
      <c r="G183" s="100">
        <f>INDEX(Performance[#All],MATCH(Table1019[[#This Row],[Employee_Name]],Performance[[#All],[Employee_Name]],0),MATCH(Table1019[[#Headers],[Overall_Score]],Performance[#Headers],0))</f>
        <v>93.8</v>
      </c>
      <c r="H183" s="130">
        <f>INDEX(Performance[#All],MATCH(Table1019[[#This Row],[Employee_Name]],Performance[[#All],[Employee_Name]],0),MATCH(Table1019[[#Headers],[Target_Attainment]],Performance[#Headers],0))</f>
        <v>1.0403296703296703</v>
      </c>
      <c r="I183" s="132">
        <f>((Table1019[[#This Row],[Target_Attainment]])*100)-Table1019[[#This Row],[Overall_Score]]</f>
        <v>10.232967032967025</v>
      </c>
    </row>
    <row r="184" spans="6:9" ht="20.100000000000001" customHeight="1" x14ac:dyDescent="0.25">
      <c r="F184" s="4" t="s">
        <v>561</v>
      </c>
      <c r="G184" s="100">
        <f>INDEX(Performance[#All],MATCH(Table1019[[#This Row],[Employee_Name]],Performance[[#All],[Employee_Name]],0),MATCH(Table1019[[#Headers],[Overall_Score]],Performance[#Headers],0))</f>
        <v>100</v>
      </c>
      <c r="H184" s="130">
        <f>INDEX(Performance[#All],MATCH(Table1019[[#This Row],[Employee_Name]],Performance[[#All],[Employee_Name]],0),MATCH(Table1019[[#Headers],[Target_Attainment]],Performance[#Headers],0))</f>
        <v>1.2838372093023256</v>
      </c>
      <c r="I184" s="132">
        <f>((Table1019[[#This Row],[Target_Attainment]])*100)-Table1019[[#This Row],[Overall_Score]]</f>
        <v>28.383720930232556</v>
      </c>
    </row>
    <row r="185" spans="6:9" ht="20.100000000000001" customHeight="1" x14ac:dyDescent="0.25">
      <c r="F185" s="4" t="s">
        <v>563</v>
      </c>
      <c r="G185" s="100">
        <f>INDEX(Performance[#All],MATCH(Table1019[[#This Row],[Employee_Name]],Performance[[#All],[Employee_Name]],0),MATCH(Table1019[[#Headers],[Overall_Score]],Performance[#Headers],0))</f>
        <v>100</v>
      </c>
      <c r="H185" s="130">
        <f>INDEX(Performance[#All],MATCH(Table1019[[#This Row],[Employee_Name]],Performance[[#All],[Employee_Name]],0),MATCH(Table1019[[#Headers],[Target_Attainment]],Performance[#Headers],0))</f>
        <v>1.3695604395604395</v>
      </c>
      <c r="I185" s="132">
        <f>((Table1019[[#This Row],[Target_Attainment]])*100)-Table1019[[#This Row],[Overall_Score]]</f>
        <v>36.956043956043942</v>
      </c>
    </row>
    <row r="186" spans="6:9" ht="20.100000000000001" customHeight="1" x14ac:dyDescent="0.25">
      <c r="F186" s="4" t="s">
        <v>566</v>
      </c>
      <c r="G186" s="100">
        <f>INDEX(Performance[#All],MATCH(Table1019[[#This Row],[Employee_Name]],Performance[[#All],[Employee_Name]],0),MATCH(Table1019[[#Headers],[Overall_Score]],Performance[#Headers],0))</f>
        <v>100</v>
      </c>
      <c r="H186" s="130">
        <f>INDEX(Performance[#All],MATCH(Table1019[[#This Row],[Employee_Name]],Performance[[#All],[Employee_Name]],0),MATCH(Table1019[[#Headers],[Target_Attainment]],Performance[#Headers],0))</f>
        <v>1.3067647058823531</v>
      </c>
      <c r="I186" s="132">
        <f>((Table1019[[#This Row],[Target_Attainment]])*100)-Table1019[[#This Row],[Overall_Score]]</f>
        <v>30.676470588235304</v>
      </c>
    </row>
    <row r="187" spans="6:9" ht="20.100000000000001" customHeight="1" x14ac:dyDescent="0.25">
      <c r="F187" s="4" t="s">
        <v>569</v>
      </c>
      <c r="G187" s="100">
        <f>INDEX(Performance[#All],MATCH(Table1019[[#This Row],[Employee_Name]],Performance[[#All],[Employee_Name]],0),MATCH(Table1019[[#Headers],[Overall_Score]],Performance[#Headers],0))</f>
        <v>100</v>
      </c>
      <c r="H187" s="130">
        <f>INDEX(Performance[#All],MATCH(Table1019[[#This Row],[Employee_Name]],Performance[[#All],[Employee_Name]],0),MATCH(Table1019[[#Headers],[Target_Attainment]],Performance[#Headers],0))</f>
        <v>1.3464935064935064</v>
      </c>
      <c r="I187" s="132">
        <f>((Table1019[[#This Row],[Target_Attainment]])*100)-Table1019[[#This Row],[Overall_Score]]</f>
        <v>34.649350649350652</v>
      </c>
    </row>
    <row r="188" spans="6:9" ht="20.100000000000001" customHeight="1" x14ac:dyDescent="0.25">
      <c r="F188" s="4" t="s">
        <v>571</v>
      </c>
      <c r="G188" s="100">
        <f>INDEX(Performance[#All],MATCH(Table1019[[#This Row],[Employee_Name]],Performance[[#All],[Employee_Name]],0),MATCH(Table1019[[#Headers],[Overall_Score]],Performance[#Headers],0))</f>
        <v>100</v>
      </c>
      <c r="H188" s="130">
        <f>INDEX(Performance[#All],MATCH(Table1019[[#This Row],[Employee_Name]],Performance[[#All],[Employee_Name]],0),MATCH(Table1019[[#Headers],[Target_Attainment]],Performance[#Headers],0))</f>
        <v>1.2914141414141413</v>
      </c>
      <c r="I188" s="132">
        <f>((Table1019[[#This Row],[Target_Attainment]])*100)-Table1019[[#This Row],[Overall_Score]]</f>
        <v>29.141414141414145</v>
      </c>
    </row>
    <row r="189" spans="6:9" ht="20.100000000000001" customHeight="1" x14ac:dyDescent="0.25">
      <c r="F189" s="4" t="s">
        <v>574</v>
      </c>
      <c r="G189" s="100">
        <f>INDEX(Performance[#All],MATCH(Table1019[[#This Row],[Employee_Name]],Performance[[#All],[Employee_Name]],0),MATCH(Table1019[[#Headers],[Overall_Score]],Performance[#Headers],0))</f>
        <v>95.3</v>
      </c>
      <c r="H189" s="130">
        <f>INDEX(Performance[#All],MATCH(Table1019[[#This Row],[Employee_Name]],Performance[[#All],[Employee_Name]],0),MATCH(Table1019[[#Headers],[Target_Attainment]],Performance[#Headers],0))</f>
        <v>1.1288297872340425</v>
      </c>
      <c r="I189" s="132">
        <f>((Table1019[[#This Row],[Target_Attainment]])*100)-Table1019[[#This Row],[Overall_Score]]</f>
        <v>17.582978723404253</v>
      </c>
    </row>
    <row r="190" spans="6:9" ht="20.100000000000001" customHeight="1" x14ac:dyDescent="0.25">
      <c r="F190" s="4" t="s">
        <v>576</v>
      </c>
      <c r="G190" s="100">
        <f>INDEX(Performance[#All],MATCH(Table1019[[#This Row],[Employee_Name]],Performance[[#All],[Employee_Name]],0),MATCH(Table1019[[#Headers],[Overall_Score]],Performance[#Headers],0))</f>
        <v>93.3</v>
      </c>
      <c r="H190" s="130">
        <f>INDEX(Performance[#All],MATCH(Table1019[[#This Row],[Employee_Name]],Performance[[#All],[Employee_Name]],0),MATCH(Table1019[[#Headers],[Target_Attainment]],Performance[#Headers],0))</f>
        <v>1.1038709677419354</v>
      </c>
      <c r="I190" s="132">
        <f>((Table1019[[#This Row],[Target_Attainment]])*100)-Table1019[[#This Row],[Overall_Score]]</f>
        <v>17.08709677419354</v>
      </c>
    </row>
    <row r="191" spans="6:9" ht="20.100000000000001" customHeight="1" x14ac:dyDescent="0.25">
      <c r="F191" s="4" t="s">
        <v>577</v>
      </c>
      <c r="G191" s="100">
        <f>INDEX(Performance[#All],MATCH(Table1019[[#This Row],[Employee_Name]],Performance[[#All],[Employee_Name]],0),MATCH(Table1019[[#Headers],[Overall_Score]],Performance[#Headers],0))</f>
        <v>94.1</v>
      </c>
      <c r="H191" s="130">
        <f>INDEX(Performance[#All],MATCH(Table1019[[#This Row],[Employee_Name]],Performance[[#All],[Employee_Name]],0),MATCH(Table1019[[#Headers],[Target_Attainment]],Performance[#Headers],0))</f>
        <v>1.0789473684210527</v>
      </c>
      <c r="I191" s="132">
        <f>((Table1019[[#This Row],[Target_Attainment]])*100)-Table1019[[#This Row],[Overall_Score]]</f>
        <v>13.794736842105266</v>
      </c>
    </row>
    <row r="192" spans="6:9" ht="20.100000000000001" customHeight="1" x14ac:dyDescent="0.25">
      <c r="F192" s="4" t="s">
        <v>578</v>
      </c>
      <c r="G192" s="100">
        <f>INDEX(Performance[#All],MATCH(Table1019[[#This Row],[Employee_Name]],Performance[[#All],[Employee_Name]],0),MATCH(Table1019[[#Headers],[Overall_Score]],Performance[#Headers],0))</f>
        <v>100</v>
      </c>
      <c r="H192" s="130">
        <f>INDEX(Performance[#All],MATCH(Table1019[[#This Row],[Employee_Name]],Performance[[#All],[Employee_Name]],0),MATCH(Table1019[[#Headers],[Target_Attainment]],Performance[#Headers],0))</f>
        <v>1.2703508771929826</v>
      </c>
      <c r="I192" s="132">
        <f>((Table1019[[#This Row],[Target_Attainment]])*100)-Table1019[[#This Row],[Overall_Score]]</f>
        <v>27.035087719298261</v>
      </c>
    </row>
    <row r="193" spans="1:12" ht="20.100000000000001" customHeight="1" x14ac:dyDescent="0.25">
      <c r="F193" s="4" t="s">
        <v>580</v>
      </c>
      <c r="G193" s="128">
        <f>INDEX(Performance[#All],MATCH(Table1019[[#This Row],[Employee_Name]],Performance[[#All],[Employee_Name]],0),MATCH(Table1019[[#Headers],[Overall_Score]],Performance[#Headers],0))</f>
        <v>93</v>
      </c>
      <c r="H193" s="130">
        <f>INDEX(Performance[#All],MATCH(Table1019[[#This Row],[Employee_Name]],Performance[[#All],[Employee_Name]],0),MATCH(Table1019[[#Headers],[Target_Attainment]],Performance[#Headers],0))</f>
        <v>1.0154716981132075</v>
      </c>
      <c r="I193" s="132">
        <f>((Table1019[[#This Row],[Target_Attainment]])*100)-Table1019[[#This Row],[Overall_Score]]</f>
        <v>8.5471698113207424</v>
      </c>
    </row>
    <row r="194" spans="1:12" ht="20.100000000000001" customHeight="1" x14ac:dyDescent="0.25">
      <c r="F194" s="4" t="s">
        <v>581</v>
      </c>
      <c r="G194" s="128">
        <f>INDEX(Performance[#All],MATCH(Table1019[[#This Row],[Employee_Name]],Performance[[#All],[Employee_Name]],0),MATCH(Table1019[[#Headers],[Overall_Score]],Performance[#Headers],0))</f>
        <v>100</v>
      </c>
      <c r="H194" s="130">
        <f>INDEX(Performance[#All],MATCH(Table1019[[#This Row],[Employee_Name]],Performance[[#All],[Employee_Name]],0),MATCH(Table1019[[#Headers],[Target_Attainment]],Performance[#Headers],0))</f>
        <v>1.3003370786516855</v>
      </c>
      <c r="I194" s="132">
        <f>((Table1019[[#This Row],[Target_Attainment]])*100)-Table1019[[#This Row],[Overall_Score]]</f>
        <v>30.033707865168537</v>
      </c>
    </row>
    <row r="195" spans="1:12" ht="20.100000000000001" customHeight="1" x14ac:dyDescent="0.25">
      <c r="F195" s="4" t="s">
        <v>582</v>
      </c>
      <c r="G195" s="128">
        <f>INDEX(Performance[#All],MATCH(Table1019[[#This Row],[Employee_Name]],Performance[[#All],[Employee_Name]],0),MATCH(Table1019[[#Headers],[Overall_Score]],Performance[#Headers],0))</f>
        <v>97.8</v>
      </c>
      <c r="H195" s="129">
        <f>INDEX(Performance[#All],MATCH(Table1019[[#This Row],[Employee_Name]],Performance[[#All],[Employee_Name]],0),MATCH(Table1019[[#Headers],[Target_Attainment]],Performance[#Headers],0))</f>
        <v>1.17</v>
      </c>
      <c r="I195" s="132">
        <f>((Table1019[[#This Row],[Target_Attainment]])*100)-Table1019[[#This Row],[Overall_Score]]</f>
        <v>19.200000000000003</v>
      </c>
    </row>
    <row r="196" spans="1:12" ht="20.100000000000001" customHeight="1" x14ac:dyDescent="0.25">
      <c r="F196" s="134" t="s">
        <v>587</v>
      </c>
      <c r="G196" s="135">
        <f>INDEX(Performance[#All],MATCH(Table1019[[#This Row],[Employee_Name]],Performance[[#All],[Employee_Name]],0),MATCH(Table1019[[#Headers],[Overall_Score]],Performance[#Headers],0))</f>
        <v>100</v>
      </c>
      <c r="H196" s="136">
        <f>INDEX(Performance[#All],MATCH(Table1019[[#This Row],[Employee_Name]],Performance[[#All],[Employee_Name]],0),MATCH(Table1019[[#Headers],[Target_Attainment]],Performance[#Headers],0))</f>
        <v>1.4475</v>
      </c>
      <c r="I196" s="137">
        <f>((Table1019[[#This Row],[Target_Attainment]])*100)-Table1019[[#This Row],[Overall_Score]]</f>
        <v>44.75</v>
      </c>
      <c r="J196" s="133" t="s">
        <v>785</v>
      </c>
      <c r="K196" s="71" t="s">
        <v>784</v>
      </c>
    </row>
    <row r="197" spans="1:12" ht="20.100000000000001" customHeight="1" x14ac:dyDescent="0.25">
      <c r="F197" s="17" t="s">
        <v>588</v>
      </c>
      <c r="G197" s="128">
        <f>INDEX(Performance[#All],MATCH(Table1019[[#This Row],[Employee_Name]],Performance[[#All],[Employee_Name]],0),MATCH(Table1019[[#Headers],[Overall_Score]],Performance[#Headers],0))</f>
        <v>93.7</v>
      </c>
      <c r="H197" s="130">
        <f>INDEX(Performance[#All],MATCH(Table1019[[#This Row],[Employee_Name]],Performance[[#All],[Employee_Name]],0),MATCH(Table1019[[#Headers],[Target_Attainment]],Performance[#Headers],0))</f>
        <v>1.0737142857142856</v>
      </c>
      <c r="I197" s="132">
        <f>((Table1019[[#This Row],[Target_Attainment]])*100)-Table1019[[#This Row],[Overall_Score]]</f>
        <v>13.671428571428564</v>
      </c>
    </row>
    <row r="198" spans="1:12" ht="20.100000000000001" customHeight="1" x14ac:dyDescent="0.25">
      <c r="F198" s="17" t="s">
        <v>589</v>
      </c>
      <c r="G198" s="128">
        <f>INDEX(Performance[#All],MATCH(Table1019[[#This Row],[Employee_Name]],Performance[[#All],[Employee_Name]],0),MATCH(Table1019[[#Headers],[Overall_Score]],Performance[#Headers],0))</f>
        <v>95.6</v>
      </c>
      <c r="H198" s="130">
        <f>INDEX(Performance[#All],MATCH(Table1019[[#This Row],[Employee_Name]],Performance[[#All],[Employee_Name]],0),MATCH(Table1019[[#Headers],[Target_Attainment]],Performance[#Headers],0))</f>
        <v>1.0241379310344827</v>
      </c>
      <c r="I198" s="132">
        <f>((Table1019[[#This Row],[Target_Attainment]])*100)-Table1019[[#This Row],[Overall_Score]]</f>
        <v>6.8137931034482762</v>
      </c>
    </row>
    <row r="199" spans="1:12" ht="20.100000000000001" customHeight="1" x14ac:dyDescent="0.25">
      <c r="F199" s="22" t="s">
        <v>591</v>
      </c>
      <c r="G199" s="128">
        <f>INDEX(Performance[#All],MATCH(Table1019[[#This Row],[Employee_Name]],Performance[[#All],[Employee_Name]],0),MATCH(Table1019[[#Headers],[Overall_Score]],Performance[#Headers],0))</f>
        <v>100</v>
      </c>
      <c r="H199" s="129">
        <f>INDEX(Performance[#All],MATCH(Table1019[[#This Row],[Employee_Name]],Performance[[#All],[Employee_Name]],0),MATCH(Table1019[[#Headers],[Target_Attainment]],Performance[#Headers],0))</f>
        <v>1.1529687500000001</v>
      </c>
      <c r="I199" s="132">
        <f>((Table1019[[#This Row],[Target_Attainment]])*100)-Table1019[[#This Row],[Overall_Score]]</f>
        <v>15.296875000000014</v>
      </c>
    </row>
    <row r="200" spans="1:12" ht="20.100000000000001" customHeight="1" x14ac:dyDescent="0.25">
      <c r="F200" s="22" t="s">
        <v>594</v>
      </c>
      <c r="G200" s="128">
        <f>INDEX(Performance[#All],MATCH(Table1019[[#This Row],[Employee_Name]],Performance[[#All],[Employee_Name]],0),MATCH(Table1019[[#Headers],[Overall_Score]],Performance[#Headers],0))</f>
        <v>94.9</v>
      </c>
      <c r="H200" s="129">
        <f>INDEX(Performance[#All],MATCH(Table1019[[#This Row],[Employee_Name]],Performance[[#All],[Employee_Name]],0),MATCH(Table1019[[#Headers],[Target_Attainment]],Performance[#Headers],0))</f>
        <v>1.136891891891892</v>
      </c>
      <c r="I200" s="132">
        <f>((Table1019[[#This Row],[Target_Attainment]])*100)-Table1019[[#This Row],[Overall_Score]]</f>
        <v>18.789189189189187</v>
      </c>
    </row>
    <row r="201" spans="1:12" ht="20.100000000000001" customHeight="1" x14ac:dyDescent="0.25">
      <c r="F201" s="17" t="s">
        <v>597</v>
      </c>
      <c r="G201" s="128">
        <f>INDEX(Performance[#All],MATCH(Table1019[[#This Row],[Employee_Name]],Performance[[#All],[Employee_Name]],0),MATCH(Table1019[[#Headers],[Overall_Score]],Performance[#Headers],0))</f>
        <v>94.6</v>
      </c>
      <c r="H201" s="130">
        <f>INDEX(Performance[#All],MATCH(Table1019[[#This Row],[Employee_Name]],Performance[[#All],[Employee_Name]],0),MATCH(Table1019[[#Headers],[Target_Attainment]],Performance[#Headers],0))</f>
        <v>1.097361111111111</v>
      </c>
      <c r="I201" s="132">
        <f>((Table1019[[#This Row],[Target_Attainment]])*100)-Table1019[[#This Row],[Overall_Score]]</f>
        <v>15.136111111111106</v>
      </c>
    </row>
    <row r="202" spans="1:12" ht="20.100000000000001" customHeight="1" x14ac:dyDescent="0.25">
      <c r="F202" s="22" t="s">
        <v>599</v>
      </c>
      <c r="G202" s="128">
        <f>INDEX(Performance[#All],MATCH(Table1019[[#This Row],[Employee_Name]],Performance[[#All],[Employee_Name]],0),MATCH(Table1019[[#Headers],[Overall_Score]],Performance[#Headers],0))</f>
        <v>95.4</v>
      </c>
      <c r="H202" s="129">
        <f>INDEX(Performance[#All],MATCH(Table1019[[#This Row],[Employee_Name]],Performance[[#All],[Employee_Name]],0),MATCH(Table1019[[#Headers],[Target_Attainment]],Performance[#Headers],0))</f>
        <v>1.098032786885246</v>
      </c>
      <c r="I202" s="132">
        <f>((Table1019[[#This Row],[Target_Attainment]])*100)-Table1019[[#This Row],[Overall_Score]]</f>
        <v>14.403278688524594</v>
      </c>
    </row>
    <row r="203" spans="1:12" ht="20.100000000000001" customHeight="1" x14ac:dyDescent="0.25">
      <c r="F203" s="22" t="s">
        <v>602</v>
      </c>
      <c r="G203" s="128">
        <f>INDEX(Performance[#All],MATCH(Table1019[[#This Row],[Employee_Name]],Performance[[#All],[Employee_Name]],0),MATCH(Table1019[[#Headers],[Overall_Score]],Performance[#Headers],0))</f>
        <v>94.7</v>
      </c>
      <c r="H203" s="129">
        <f>INDEX(Performance[#All],MATCH(Table1019[[#This Row],[Employee_Name]],Performance[[#All],[Employee_Name]],0),MATCH(Table1019[[#Headers],[Target_Attainment]],Performance[#Headers],0))</f>
        <v>1.0539622641509434</v>
      </c>
      <c r="I203" s="132">
        <f>((Table1019[[#This Row],[Target_Attainment]])*100)-Table1019[[#This Row],[Overall_Score]]</f>
        <v>10.696226415094344</v>
      </c>
    </row>
    <row r="206" spans="1:12" s="142" customFormat="1" ht="20.100000000000001" customHeight="1" x14ac:dyDescent="0.25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</row>
    <row r="208" spans="1:12" ht="20.100000000000001" customHeight="1" x14ac:dyDescent="0.25">
      <c r="A208" s="161" t="s">
        <v>640</v>
      </c>
    </row>
    <row r="209" spans="1:10" ht="20.100000000000001" customHeight="1" x14ac:dyDescent="0.25">
      <c r="A209" s="161"/>
    </row>
    <row r="210" spans="1:10" ht="20.100000000000001" customHeight="1" x14ac:dyDescent="0.25">
      <c r="A210" s="161"/>
      <c r="C210" s="13" t="s">
        <v>642</v>
      </c>
      <c r="H210" s="13" t="s">
        <v>787</v>
      </c>
    </row>
    <row r="212" spans="1:10" ht="20.100000000000001" customHeight="1" x14ac:dyDescent="0.25">
      <c r="F212" s="47" t="s">
        <v>392</v>
      </c>
      <c r="G212" s="144" t="s">
        <v>756</v>
      </c>
      <c r="H212" s="144" t="s">
        <v>27</v>
      </c>
    </row>
    <row r="213" spans="1:10" ht="20.100000000000001" customHeight="1" x14ac:dyDescent="0.25">
      <c r="F213" t="s">
        <v>402</v>
      </c>
      <c r="G213" s="145">
        <f>SUMIF(Sales[Customer_Tier],Table19[[#This Row],[Customer_Tier]],Sales[Net_Sales])</f>
        <v>5393500</v>
      </c>
      <c r="H213" s="145">
        <f>SUMIF(Sales[Customer_Tier],Table19[[#This Row],[Customer_Tier]],Sales[Profit])</f>
        <v>1195050</v>
      </c>
    </row>
    <row r="214" spans="1:10" ht="20.100000000000001" customHeight="1" x14ac:dyDescent="0.25">
      <c r="F214" s="147" t="s">
        <v>399</v>
      </c>
      <c r="G214" s="148">
        <f>SUMIF(Sales[Customer_Tier],Table19[[#This Row],[Customer_Tier]],Sales[Net_Sales])</f>
        <v>7564031</v>
      </c>
      <c r="H214" s="149">
        <f>SUMIF(Sales[Customer_Tier],Table19[[#This Row],[Customer_Tier]],Sales[Profit])</f>
        <v>1307731</v>
      </c>
    </row>
    <row r="215" spans="1:10" ht="20.100000000000001" customHeight="1" x14ac:dyDescent="0.25">
      <c r="F215" t="s">
        <v>395</v>
      </c>
      <c r="G215" s="145">
        <f>SUMIF(Sales[Customer_Tier],Table19[[#This Row],[Customer_Tier]],Sales[Net_Sales])</f>
        <v>5091908</v>
      </c>
      <c r="H215" s="146">
        <f>SUMIF(Sales[Customer_Tier],Table19[[#This Row],[Customer_Tier]],Sales[Profit])</f>
        <v>1217708</v>
      </c>
    </row>
    <row r="216" spans="1:10" ht="20.100000000000001" customHeight="1" x14ac:dyDescent="0.25">
      <c r="F216"/>
    </row>
    <row r="217" spans="1:10" ht="20.100000000000001" customHeight="1" x14ac:dyDescent="0.25">
      <c r="F217"/>
    </row>
    <row r="218" spans="1:10" ht="20.100000000000001" customHeight="1" x14ac:dyDescent="0.25">
      <c r="C218" s="13" t="s">
        <v>643</v>
      </c>
      <c r="F218"/>
      <c r="H218" s="13" t="s">
        <v>793</v>
      </c>
    </row>
    <row r="219" spans="1:10" ht="20.100000000000001" customHeight="1" x14ac:dyDescent="0.25">
      <c r="F219"/>
    </row>
    <row r="220" spans="1:10" ht="20.100000000000001" customHeight="1" x14ac:dyDescent="0.25">
      <c r="F220" s="152" t="s">
        <v>788</v>
      </c>
      <c r="G220" s="153" t="s">
        <v>452</v>
      </c>
      <c r="H220" s="153" t="s">
        <v>659</v>
      </c>
    </row>
    <row r="221" spans="1:10" ht="20.100000000000001" customHeight="1" x14ac:dyDescent="0.25">
      <c r="F221" s="4" t="s">
        <v>455</v>
      </c>
      <c r="G221" s="156" t="str">
        <f>INDEX(Product[#All],MATCH(Table21[[#This Row],[Product]],Product[[#All],[Product_Name]],0),MATCH(Table21[[#Headers],[Category]],Product[#Headers],0))</f>
        <v>IT Equipment</v>
      </c>
      <c r="H221" s="132">
        <f>INDEX(Product[#All],MATCH(Table21[[#This Row],[Product]],Product[[#All],[Product_Name]],0),MATCH(Table21[[#Headers],[Margin_%]],Product[#Headers],0))</f>
        <v>0.1490702947845805</v>
      </c>
      <c r="J221" s="68" t="s">
        <v>792</v>
      </c>
    </row>
    <row r="222" spans="1:10" ht="20.100000000000001" customHeight="1" x14ac:dyDescent="0.25">
      <c r="F222" s="4" t="s">
        <v>457</v>
      </c>
      <c r="G222" s="156" t="str">
        <f>INDEX(Product[#All],MATCH(Table21[[#This Row],[Product]],Product[[#All],[Product_Name]],0),MATCH(Table21[[#Headers],[Category]],Product[#Headers],0))</f>
        <v>IT Equipment</v>
      </c>
      <c r="H222" s="132">
        <f>INDEX(Product[#All],MATCH(Table21[[#This Row],[Product]],Product[[#All],[Product_Name]],0),MATCH(Table21[[#Headers],[Margin_%]],Product[#Headers],0))</f>
        <v>0.1955820895522388</v>
      </c>
    </row>
    <row r="223" spans="1:10" ht="20.100000000000001" customHeight="1" x14ac:dyDescent="0.25">
      <c r="F223" s="4" t="s">
        <v>458</v>
      </c>
      <c r="G223" s="156" t="str">
        <f>INDEX(Product[#All],MATCH(Table21[[#This Row],[Product]],Product[[#All],[Product_Name]],0),MATCH(Table21[[#Headers],[Category]],Product[#Headers],0))</f>
        <v>IT Equipment</v>
      </c>
      <c r="H223" s="132">
        <f>INDEX(Product[#All],MATCH(Table21[[#This Row],[Product]],Product[[#All],[Product_Name]],0),MATCH(Table21[[#Headers],[Margin_%]],Product[#Headers],0))</f>
        <v>0.35650853889943074</v>
      </c>
    </row>
    <row r="224" spans="1:10" ht="20.100000000000001" customHeight="1" x14ac:dyDescent="0.25">
      <c r="F224" s="4" t="s">
        <v>459</v>
      </c>
      <c r="G224" s="156" t="str">
        <f>INDEX(Product[#All],MATCH(Table21[[#This Row],[Product]],Product[[#All],[Product_Name]],0),MATCH(Table21[[#Headers],[Category]],Product[#Headers],0))</f>
        <v>Accessories</v>
      </c>
      <c r="H224" s="132">
        <f>INDEX(Product[#All],MATCH(Table21[[#This Row],[Product]],Product[[#All],[Product_Name]],0),MATCH(Table21[[#Headers],[Margin_%]],Product[#Headers],0))</f>
        <v>0.43777777777777777</v>
      </c>
    </row>
    <row r="225" spans="6:8" ht="20.100000000000001" customHeight="1" x14ac:dyDescent="0.25">
      <c r="F225" s="4" t="s">
        <v>461</v>
      </c>
      <c r="G225" s="156" t="str">
        <f>INDEX(Product[#All],MATCH(Table21[[#This Row],[Product]],Product[[#All],[Product_Name]],0),MATCH(Table21[[#Headers],[Category]],Product[#Headers],0))</f>
        <v>Accessories</v>
      </c>
      <c r="H225" s="132">
        <f>INDEX(Product[#All],MATCH(Table21[[#This Row],[Product]],Product[[#All],[Product_Name]],0),MATCH(Table21[[#Headers],[Margin_%]],Product[#Headers],0))</f>
        <v>0.64251105216622462</v>
      </c>
    </row>
    <row r="226" spans="6:8" ht="20.100000000000001" customHeight="1" x14ac:dyDescent="0.25">
      <c r="F226" s="4" t="s">
        <v>462</v>
      </c>
      <c r="G226" s="156" t="str">
        <f>INDEX(Product[#All],MATCH(Table21[[#This Row],[Product]],Product[[#All],[Product_Name]],0),MATCH(Table21[[#Headers],[Category]],Product[#Headers],0))</f>
        <v>Office</v>
      </c>
      <c r="H226" s="132">
        <f>INDEX(Product[#All],MATCH(Table21[[#This Row],[Product]],Product[[#All],[Product_Name]],0),MATCH(Table21[[#Headers],[Margin_%]],Product[#Headers],0))</f>
        <v>0.38535714285714284</v>
      </c>
    </row>
    <row r="227" spans="6:8" ht="20.100000000000001" customHeight="1" x14ac:dyDescent="0.25">
      <c r="F227" s="4" t="s">
        <v>464</v>
      </c>
      <c r="G227" s="156" t="str">
        <f>INDEX(Product[#All],MATCH(Table21[[#This Row],[Product]],Product[[#All],[Product_Name]],0),MATCH(Table21[[#Headers],[Category]],Product[#Headers],0))</f>
        <v>Office</v>
      </c>
      <c r="H227" s="132">
        <f>INDEX(Product[#All],MATCH(Table21[[#This Row],[Product]],Product[[#All],[Product_Name]],0),MATCH(Table21[[#Headers],[Margin_%]],Product[#Headers],0))</f>
        <v>0.30848780487804878</v>
      </c>
    </row>
    <row r="228" spans="6:8" ht="20.100000000000001" customHeight="1" x14ac:dyDescent="0.25">
      <c r="F228" s="4" t="s">
        <v>465</v>
      </c>
      <c r="G228" s="156" t="str">
        <f>INDEX(Product[#All],MATCH(Table21[[#This Row],[Product]],Product[[#All],[Product_Name]],0),MATCH(Table21[[#Headers],[Category]],Product[#Headers],0))</f>
        <v>Office</v>
      </c>
      <c r="H228" s="132">
        <f>INDEX(Product[#All],MATCH(Table21[[#This Row],[Product]],Product[[#All],[Product_Name]],0),MATCH(Table21[[#Headers],[Margin_%]],Product[#Headers],0))</f>
        <v>0.27825174825174825</v>
      </c>
    </row>
    <row r="229" spans="6:8" ht="20.100000000000001" customHeight="1" x14ac:dyDescent="0.25">
      <c r="F229" s="4" t="s">
        <v>466</v>
      </c>
      <c r="G229" s="156" t="str">
        <f>INDEX(Product[#All],MATCH(Table21[[#This Row],[Product]],Product[[#All],[Product_Name]],0),MATCH(Table21[[#Headers],[Category]],Product[#Headers],0))</f>
        <v>IT Equipment</v>
      </c>
      <c r="H229" s="132">
        <f>INDEX(Product[#All],MATCH(Table21[[#This Row],[Product]],Product[[#All],[Product_Name]],0),MATCH(Table21[[#Headers],[Margin_%]],Product[#Headers],0))</f>
        <v>0.41150776583034648</v>
      </c>
    </row>
    <row r="230" spans="6:8" ht="20.100000000000001" customHeight="1" x14ac:dyDescent="0.25">
      <c r="F230" s="4" t="s">
        <v>467</v>
      </c>
      <c r="G230" s="156" t="str">
        <f>INDEX(Product[#All],MATCH(Table21[[#This Row],[Product]],Product[[#All],[Product_Name]],0),MATCH(Table21[[#Headers],[Category]],Product[#Headers],0))</f>
        <v>IT Equipment</v>
      </c>
      <c r="H230" s="132">
        <f>INDEX(Product[#All],MATCH(Table21[[#This Row],[Product]],Product[[#All],[Product_Name]],0),MATCH(Table21[[#Headers],[Margin_%]],Product[#Headers],0))</f>
        <v>0.43075882794891057</v>
      </c>
    </row>
    <row r="231" spans="6:8" ht="20.100000000000001" customHeight="1" x14ac:dyDescent="0.25">
      <c r="F231" s="4" t="s">
        <v>468</v>
      </c>
      <c r="G231" s="156" t="str">
        <f>INDEX(Product[#All],MATCH(Table21[[#This Row],[Product]],Product[[#All],[Product_Name]],0),MATCH(Table21[[#Headers],[Category]],Product[#Headers],0))</f>
        <v>Accessories</v>
      </c>
      <c r="H231" s="132">
        <f>INDEX(Product[#All],MATCH(Table21[[#This Row],[Product]],Product[[#All],[Product_Name]],0),MATCH(Table21[[#Headers],[Margin_%]],Product[#Headers],0))</f>
        <v>0.51472222222222219</v>
      </c>
    </row>
    <row r="232" spans="6:8" ht="20.100000000000001" customHeight="1" x14ac:dyDescent="0.25">
      <c r="F232" s="4" t="s">
        <v>469</v>
      </c>
      <c r="G232" s="156" t="str">
        <f>INDEX(Product[#All],MATCH(Table21[[#This Row],[Product]],Product[[#All],[Product_Name]],0),MATCH(Table21[[#Headers],[Category]],Product[#Headers],0))</f>
        <v>Accessories</v>
      </c>
      <c r="H232" s="132">
        <f>INDEX(Product[#All],MATCH(Table21[[#This Row],[Product]],Product[[#All],[Product_Name]],0),MATCH(Table21[[#Headers],[Margin_%]],Product[#Headers],0))</f>
        <v>0.46651785714285715</v>
      </c>
    </row>
    <row r="233" spans="6:8" ht="20.100000000000001" customHeight="1" x14ac:dyDescent="0.25">
      <c r="F233" s="4" t="s">
        <v>470</v>
      </c>
      <c r="G233" s="156" t="str">
        <f>INDEX(Product[#All],MATCH(Table21[[#This Row],[Product]],Product[[#All],[Product_Name]],0),MATCH(Table21[[#Headers],[Category]],Product[#Headers],0))</f>
        <v>IT Equipment</v>
      </c>
      <c r="H233" s="132">
        <f>INDEX(Product[#All],MATCH(Table21[[#This Row],[Product]],Product[[#All],[Product_Name]],0),MATCH(Table21[[#Headers],[Margin_%]],Product[#Headers],0))</f>
        <v>0.29162753036437244</v>
      </c>
    </row>
    <row r="234" spans="6:8" ht="20.100000000000001" customHeight="1" x14ac:dyDescent="0.25">
      <c r="F234" s="4" t="s">
        <v>471</v>
      </c>
      <c r="G234" s="156" t="str">
        <f>INDEX(Product[#All],MATCH(Table21[[#This Row],[Product]],Product[[#All],[Product_Name]],0),MATCH(Table21[[#Headers],[Category]],Product[#Headers],0))</f>
        <v>Office</v>
      </c>
      <c r="H234" s="132">
        <f>INDEX(Product[#All],MATCH(Table21[[#This Row],[Product]],Product[[#All],[Product_Name]],0),MATCH(Table21[[#Headers],[Margin_%]],Product[#Headers],0))</f>
        <v>0.31702479338842976</v>
      </c>
    </row>
    <row r="235" spans="6:8" ht="20.100000000000001" customHeight="1" x14ac:dyDescent="0.25">
      <c r="F235" s="4" t="s">
        <v>472</v>
      </c>
      <c r="G235" s="156" t="str">
        <f>INDEX(Product[#All],MATCH(Table21[[#This Row],[Product]],Product[[#All],[Product_Name]],0),MATCH(Table21[[#Headers],[Category]],Product[#Headers],0))</f>
        <v>IT Equipment</v>
      </c>
      <c r="H235" s="132">
        <f>INDEX(Product[#All],MATCH(Table21[[#This Row],[Product]],Product[[#All],[Product_Name]],0),MATCH(Table21[[#Headers],[Margin_%]],Product[#Headers],0))</f>
        <v>0.43736842105263157</v>
      </c>
    </row>
    <row r="236" spans="6:8" ht="20.100000000000001" customHeight="1" x14ac:dyDescent="0.25">
      <c r="F236" s="4" t="s">
        <v>473</v>
      </c>
      <c r="G236" s="156" t="str">
        <f>INDEX(Product[#All],MATCH(Table21[[#This Row],[Product]],Product[[#All],[Product_Name]],0),MATCH(Table21[[#Headers],[Category]],Product[#Headers],0))</f>
        <v>IT Equipment</v>
      </c>
      <c r="H236" s="132">
        <f>INDEX(Product[#All],MATCH(Table21[[#This Row],[Product]],Product[[#All],[Product_Name]],0),MATCH(Table21[[#Headers],[Margin_%]],Product[#Headers],0))</f>
        <v>0.43145569620253166</v>
      </c>
    </row>
    <row r="237" spans="6:8" ht="20.100000000000001" customHeight="1" x14ac:dyDescent="0.25">
      <c r="F237" s="4" t="s">
        <v>474</v>
      </c>
      <c r="G237" s="156" t="str">
        <f>INDEX(Product[#All],MATCH(Table21[[#This Row],[Product]],Product[[#All],[Product_Name]],0),MATCH(Table21[[#Headers],[Category]],Product[#Headers],0))</f>
        <v>Office</v>
      </c>
      <c r="H237" s="132">
        <f>INDEX(Product[#All],MATCH(Table21[[#This Row],[Product]],Product[[#All],[Product_Name]],0),MATCH(Table21[[#Headers],[Margin_%]],Product[#Headers],0))</f>
        <v>0.41588269454123111</v>
      </c>
    </row>
    <row r="238" spans="6:8" ht="20.100000000000001" customHeight="1" x14ac:dyDescent="0.25">
      <c r="F238" s="4" t="s">
        <v>475</v>
      </c>
      <c r="G238" s="156" t="str">
        <f>INDEX(Product[#All],MATCH(Table21[[#This Row],[Product]],Product[[#All],[Product_Name]],0),MATCH(Table21[[#Headers],[Category]],Product[#Headers],0))</f>
        <v>Accessories</v>
      </c>
      <c r="H238" s="132">
        <f>INDEX(Product[#All],MATCH(Table21[[#This Row],[Product]],Product[[#All],[Product_Name]],0),MATCH(Table21[[#Headers],[Margin_%]],Product[#Headers],0))</f>
        <v>0.393125</v>
      </c>
    </row>
    <row r="239" spans="6:8" ht="20.100000000000001" customHeight="1" x14ac:dyDescent="0.25">
      <c r="F239" s="4" t="s">
        <v>476</v>
      </c>
      <c r="G239" s="156" t="str">
        <f>INDEX(Product[#All],MATCH(Table21[[#This Row],[Product]],Product[[#All],[Product_Name]],0),MATCH(Table21[[#Headers],[Category]],Product[#Headers],0))</f>
        <v>IT Equipment</v>
      </c>
      <c r="H239" s="132">
        <f>INDEX(Product[#All],MATCH(Table21[[#This Row],[Product]],Product[[#All],[Product_Name]],0),MATCH(Table21[[#Headers],[Margin_%]],Product[#Headers],0))</f>
        <v>0.47339622641509432</v>
      </c>
    </row>
    <row r="240" spans="6:8" ht="20.100000000000001" customHeight="1" x14ac:dyDescent="0.25">
      <c r="F240" s="24" t="s">
        <v>477</v>
      </c>
      <c r="G240" s="156" t="str">
        <f>INDEX(Product[#All],MATCH(Table21[[#This Row],[Product]],Product[[#All],[Product_Name]],0),MATCH(Table21[[#Headers],[Category]],Product[#Headers],0))</f>
        <v>Operations</v>
      </c>
      <c r="H240" s="132">
        <f>INDEX(Product[#All],MATCH(Table21[[#This Row],[Product]],Product[[#All],[Product_Name]],0),MATCH(Table21[[#Headers],[Margin_%]],Product[#Headers],0))</f>
        <v>0.40506122448979592</v>
      </c>
    </row>
    <row r="241" spans="3:7" ht="20.100000000000001" customHeight="1" x14ac:dyDescent="0.25">
      <c r="F241"/>
    </row>
    <row r="242" spans="3:7" ht="20.100000000000001" customHeight="1" x14ac:dyDescent="0.25">
      <c r="F242"/>
    </row>
    <row r="243" spans="3:7" ht="20.100000000000001" customHeight="1" x14ac:dyDescent="0.25">
      <c r="C243" s="13" t="s">
        <v>644</v>
      </c>
      <c r="F243"/>
    </row>
    <row r="244" spans="3:7" ht="20.100000000000001" customHeight="1" x14ac:dyDescent="0.25">
      <c r="F244"/>
    </row>
    <row r="245" spans="3:7" ht="20.100000000000001" customHeight="1" x14ac:dyDescent="0.25">
      <c r="F245" s="157" t="s">
        <v>609</v>
      </c>
      <c r="G245" s="158" t="s">
        <v>756</v>
      </c>
    </row>
    <row r="246" spans="3:7" ht="20.100000000000001" customHeight="1" x14ac:dyDescent="0.25">
      <c r="F246" t="s">
        <v>794</v>
      </c>
      <c r="G246" s="145">
        <f>SUMIF(Sales[Month],1,Sales[Net_Sales])</f>
        <v>2194288</v>
      </c>
    </row>
    <row r="247" spans="3:7" ht="20.100000000000001" customHeight="1" x14ac:dyDescent="0.25">
      <c r="F247" t="s">
        <v>795</v>
      </c>
      <c r="G247" s="145">
        <f>SUMIF(Sales[Month],2,Sales[Net_Sales])</f>
        <v>3068237</v>
      </c>
    </row>
    <row r="248" spans="3:7" ht="20.100000000000001" customHeight="1" x14ac:dyDescent="0.25">
      <c r="F248" t="s">
        <v>796</v>
      </c>
      <c r="G248" s="145">
        <f>SUMIF(Sales[Month],3,Sales[Net_Sales])</f>
        <v>2481639</v>
      </c>
    </row>
    <row r="249" spans="3:7" ht="20.100000000000001" customHeight="1" x14ac:dyDescent="0.25">
      <c r="F249" t="s">
        <v>797</v>
      </c>
      <c r="G249" s="145">
        <f>SUMIF(Sales[Month],4,Sales[Net_Sales])</f>
        <v>3716812</v>
      </c>
    </row>
    <row r="250" spans="3:7" ht="20.100000000000001" customHeight="1" x14ac:dyDescent="0.25">
      <c r="F250" t="s">
        <v>798</v>
      </c>
      <c r="G250" s="145">
        <f>SUMIF(Sales[Month],5,Sales[Net_Sales])</f>
        <v>3918825</v>
      </c>
    </row>
    <row r="251" spans="3:7" ht="20.100000000000001" customHeight="1" x14ac:dyDescent="0.25">
      <c r="F251" t="s">
        <v>799</v>
      </c>
      <c r="G251" s="145">
        <f>SUMIF(Sales[Month],6,Sales[Net_Sales])</f>
        <v>2669638</v>
      </c>
    </row>
    <row r="252" spans="3:7" ht="20.100000000000001" customHeight="1" x14ac:dyDescent="0.25">
      <c r="F252"/>
    </row>
    <row r="253" spans="3:7" ht="20.100000000000001" customHeight="1" x14ac:dyDescent="0.25">
      <c r="F253"/>
    </row>
    <row r="254" spans="3:7" ht="20.100000000000001" customHeight="1" x14ac:dyDescent="0.25">
      <c r="F254"/>
    </row>
    <row r="255" spans="3:7" ht="20.100000000000001" customHeight="1" x14ac:dyDescent="0.25">
      <c r="F255"/>
    </row>
    <row r="256" spans="3:7" ht="20.100000000000001" customHeight="1" x14ac:dyDescent="0.25">
      <c r="F256"/>
    </row>
    <row r="257" spans="6:6" ht="20.100000000000001" customHeight="1" x14ac:dyDescent="0.25">
      <c r="F257"/>
    </row>
    <row r="258" spans="6:6" ht="20.100000000000001" customHeight="1" x14ac:dyDescent="0.25">
      <c r="F258"/>
    </row>
    <row r="259" spans="6:6" ht="20.100000000000001" customHeight="1" x14ac:dyDescent="0.25">
      <c r="F259"/>
    </row>
    <row r="260" spans="6:6" ht="20.100000000000001" customHeight="1" x14ac:dyDescent="0.25">
      <c r="F260"/>
    </row>
    <row r="261" spans="6:6" ht="20.100000000000001" customHeight="1" x14ac:dyDescent="0.25">
      <c r="F261"/>
    </row>
    <row r="262" spans="6:6" ht="20.100000000000001" customHeight="1" x14ac:dyDescent="0.25">
      <c r="F262"/>
    </row>
    <row r="263" spans="6:6" ht="20.100000000000001" customHeight="1" x14ac:dyDescent="0.25">
      <c r="F263"/>
    </row>
    <row r="264" spans="6:6" ht="20.100000000000001" customHeight="1" x14ac:dyDescent="0.25">
      <c r="F264"/>
    </row>
    <row r="265" spans="6:6" ht="20.100000000000001" customHeight="1" x14ac:dyDescent="0.25">
      <c r="F265"/>
    </row>
    <row r="266" spans="6:6" ht="20.100000000000001" customHeight="1" x14ac:dyDescent="0.25">
      <c r="F266"/>
    </row>
    <row r="267" spans="6:6" ht="20.100000000000001" customHeight="1" x14ac:dyDescent="0.25">
      <c r="F267"/>
    </row>
    <row r="268" spans="6:6" ht="20.100000000000001" customHeight="1" x14ac:dyDescent="0.25">
      <c r="F268"/>
    </row>
    <row r="269" spans="6:6" ht="20.100000000000001" customHeight="1" x14ac:dyDescent="0.25">
      <c r="F269"/>
    </row>
    <row r="270" spans="6:6" ht="20.100000000000001" customHeight="1" x14ac:dyDescent="0.25">
      <c r="F270"/>
    </row>
    <row r="271" spans="6:6" ht="20.100000000000001" customHeight="1" x14ac:dyDescent="0.25">
      <c r="F271"/>
    </row>
    <row r="272" spans="6:6" ht="20.100000000000001" customHeight="1" x14ac:dyDescent="0.25">
      <c r="F272"/>
    </row>
    <row r="273" spans="6:6" ht="20.100000000000001" customHeight="1" x14ac:dyDescent="0.25">
      <c r="F273"/>
    </row>
    <row r="274" spans="6:6" ht="20.100000000000001" customHeight="1" x14ac:dyDescent="0.25">
      <c r="F274"/>
    </row>
    <row r="275" spans="6:6" ht="20.100000000000001" customHeight="1" x14ac:dyDescent="0.25">
      <c r="F275"/>
    </row>
    <row r="276" spans="6:6" ht="20.100000000000001" customHeight="1" x14ac:dyDescent="0.25">
      <c r="F276"/>
    </row>
    <row r="277" spans="6:6" ht="20.100000000000001" customHeight="1" x14ac:dyDescent="0.25">
      <c r="F277"/>
    </row>
    <row r="278" spans="6:6" ht="20.100000000000001" customHeight="1" x14ac:dyDescent="0.25">
      <c r="F278"/>
    </row>
    <row r="279" spans="6:6" ht="20.100000000000001" customHeight="1" x14ac:dyDescent="0.25">
      <c r="F279"/>
    </row>
    <row r="280" spans="6:6" ht="20.100000000000001" customHeight="1" x14ac:dyDescent="0.25">
      <c r="F280"/>
    </row>
    <row r="281" spans="6:6" ht="20.100000000000001" customHeight="1" x14ac:dyDescent="0.25">
      <c r="F281"/>
    </row>
    <row r="282" spans="6:6" ht="20.100000000000001" customHeight="1" x14ac:dyDescent="0.25">
      <c r="F282"/>
    </row>
    <row r="283" spans="6:6" ht="20.100000000000001" customHeight="1" x14ac:dyDescent="0.25">
      <c r="F283"/>
    </row>
    <row r="284" spans="6:6" ht="20.100000000000001" customHeight="1" x14ac:dyDescent="0.25">
      <c r="F284"/>
    </row>
    <row r="285" spans="6:6" ht="20.100000000000001" customHeight="1" x14ac:dyDescent="0.25">
      <c r="F285"/>
    </row>
    <row r="286" spans="6:6" ht="20.100000000000001" customHeight="1" x14ac:dyDescent="0.25">
      <c r="F286"/>
    </row>
    <row r="287" spans="6:6" ht="20.100000000000001" customHeight="1" x14ac:dyDescent="0.25">
      <c r="F287"/>
    </row>
    <row r="288" spans="6:6" ht="20.100000000000001" customHeight="1" x14ac:dyDescent="0.25">
      <c r="F288"/>
    </row>
    <row r="289" spans="6:6" ht="20.100000000000001" customHeight="1" x14ac:dyDescent="0.25">
      <c r="F289"/>
    </row>
    <row r="290" spans="6:6" ht="20.100000000000001" customHeight="1" x14ac:dyDescent="0.25">
      <c r="F290"/>
    </row>
    <row r="291" spans="6:6" ht="20.100000000000001" customHeight="1" x14ac:dyDescent="0.25">
      <c r="F291"/>
    </row>
    <row r="292" spans="6:6" ht="20.100000000000001" customHeight="1" x14ac:dyDescent="0.25">
      <c r="F292"/>
    </row>
    <row r="293" spans="6:6" ht="20.100000000000001" customHeight="1" x14ac:dyDescent="0.25">
      <c r="F293"/>
    </row>
    <row r="294" spans="6:6" ht="20.100000000000001" customHeight="1" x14ac:dyDescent="0.25">
      <c r="F294"/>
    </row>
    <row r="295" spans="6:6" ht="20.100000000000001" customHeight="1" x14ac:dyDescent="0.25">
      <c r="F295"/>
    </row>
    <row r="296" spans="6:6" ht="20.100000000000001" customHeight="1" x14ac:dyDescent="0.25">
      <c r="F296"/>
    </row>
    <row r="297" spans="6:6" ht="20.100000000000001" customHeight="1" x14ac:dyDescent="0.25">
      <c r="F297"/>
    </row>
    <row r="298" spans="6:6" ht="20.100000000000001" customHeight="1" x14ac:dyDescent="0.25">
      <c r="F298"/>
    </row>
    <row r="299" spans="6:6" ht="20.100000000000001" customHeight="1" x14ac:dyDescent="0.25">
      <c r="F299"/>
    </row>
    <row r="300" spans="6:6" ht="20.100000000000001" customHeight="1" x14ac:dyDescent="0.25">
      <c r="F300"/>
    </row>
    <row r="301" spans="6:6" ht="20.100000000000001" customHeight="1" x14ac:dyDescent="0.25">
      <c r="F301"/>
    </row>
    <row r="302" spans="6:6" ht="20.100000000000001" customHeight="1" x14ac:dyDescent="0.25">
      <c r="F302"/>
    </row>
    <row r="303" spans="6:6" ht="20.100000000000001" customHeight="1" x14ac:dyDescent="0.25">
      <c r="F303"/>
    </row>
    <row r="304" spans="6:6" ht="20.100000000000001" customHeight="1" x14ac:dyDescent="0.25">
      <c r="F304"/>
    </row>
    <row r="305" spans="6:6" ht="20.100000000000001" customHeight="1" x14ac:dyDescent="0.25">
      <c r="F305"/>
    </row>
    <row r="306" spans="6:6" ht="20.100000000000001" customHeight="1" x14ac:dyDescent="0.25">
      <c r="F306"/>
    </row>
    <row r="307" spans="6:6" ht="20.100000000000001" customHeight="1" x14ac:dyDescent="0.25">
      <c r="F307"/>
    </row>
    <row r="308" spans="6:6" ht="20.100000000000001" customHeight="1" x14ac:dyDescent="0.25">
      <c r="F308"/>
    </row>
    <row r="309" spans="6:6" ht="20.100000000000001" customHeight="1" x14ac:dyDescent="0.25">
      <c r="F309"/>
    </row>
    <row r="310" spans="6:6" ht="20.100000000000001" customHeight="1" x14ac:dyDescent="0.25">
      <c r="F310"/>
    </row>
    <row r="311" spans="6:6" ht="20.100000000000001" customHeight="1" x14ac:dyDescent="0.25">
      <c r="F311"/>
    </row>
    <row r="312" spans="6:6" ht="20.100000000000001" customHeight="1" x14ac:dyDescent="0.25">
      <c r="F312"/>
    </row>
    <row r="313" spans="6:6" ht="20.100000000000001" customHeight="1" x14ac:dyDescent="0.25">
      <c r="F313"/>
    </row>
    <row r="314" spans="6:6" ht="20.100000000000001" customHeight="1" x14ac:dyDescent="0.25">
      <c r="F314"/>
    </row>
    <row r="315" spans="6:6" ht="20.100000000000001" customHeight="1" x14ac:dyDescent="0.25">
      <c r="F315"/>
    </row>
    <row r="316" spans="6:6" ht="20.100000000000001" customHeight="1" x14ac:dyDescent="0.25">
      <c r="F316"/>
    </row>
    <row r="317" spans="6:6" ht="20.100000000000001" customHeight="1" x14ac:dyDescent="0.25">
      <c r="F317"/>
    </row>
    <row r="318" spans="6:6" ht="20.100000000000001" customHeight="1" x14ac:dyDescent="0.25">
      <c r="F318"/>
    </row>
    <row r="319" spans="6:6" ht="20.100000000000001" customHeight="1" x14ac:dyDescent="0.25">
      <c r="F319"/>
    </row>
    <row r="320" spans="6:6" ht="20.100000000000001" customHeight="1" x14ac:dyDescent="0.25">
      <c r="F320"/>
    </row>
    <row r="321" spans="6:6" ht="20.100000000000001" customHeight="1" x14ac:dyDescent="0.25">
      <c r="F321"/>
    </row>
    <row r="322" spans="6:6" ht="20.100000000000001" customHeight="1" x14ac:dyDescent="0.25">
      <c r="F322"/>
    </row>
    <row r="323" spans="6:6" ht="20.100000000000001" customHeight="1" x14ac:dyDescent="0.25">
      <c r="F323"/>
    </row>
    <row r="324" spans="6:6" ht="20.100000000000001" customHeight="1" x14ac:dyDescent="0.25">
      <c r="F324"/>
    </row>
    <row r="325" spans="6:6" ht="20.100000000000001" customHeight="1" x14ac:dyDescent="0.25">
      <c r="F325"/>
    </row>
    <row r="326" spans="6:6" ht="20.100000000000001" customHeight="1" x14ac:dyDescent="0.25">
      <c r="F326"/>
    </row>
    <row r="327" spans="6:6" ht="20.100000000000001" customHeight="1" x14ac:dyDescent="0.25">
      <c r="F327"/>
    </row>
    <row r="328" spans="6:6" ht="20.100000000000001" customHeight="1" x14ac:dyDescent="0.25">
      <c r="F328"/>
    </row>
    <row r="329" spans="6:6" ht="20.100000000000001" customHeight="1" x14ac:dyDescent="0.25">
      <c r="F329"/>
    </row>
    <row r="330" spans="6:6" ht="20.100000000000001" customHeight="1" x14ac:dyDescent="0.25">
      <c r="F330"/>
    </row>
    <row r="331" spans="6:6" ht="20.100000000000001" customHeight="1" x14ac:dyDescent="0.25">
      <c r="F331"/>
    </row>
    <row r="332" spans="6:6" ht="20.100000000000001" customHeight="1" x14ac:dyDescent="0.25">
      <c r="F332"/>
    </row>
    <row r="333" spans="6:6" ht="20.100000000000001" customHeight="1" x14ac:dyDescent="0.25">
      <c r="F333"/>
    </row>
    <row r="334" spans="6:6" ht="20.100000000000001" customHeight="1" x14ac:dyDescent="0.25">
      <c r="F334"/>
    </row>
    <row r="335" spans="6:6" ht="20.100000000000001" customHeight="1" x14ac:dyDescent="0.25">
      <c r="F335"/>
    </row>
    <row r="336" spans="6:6" ht="20.100000000000001" customHeight="1" x14ac:dyDescent="0.25">
      <c r="F336"/>
    </row>
    <row r="337" spans="6:6" ht="20.100000000000001" customHeight="1" x14ac:dyDescent="0.25">
      <c r="F337"/>
    </row>
    <row r="338" spans="6:6" ht="20.100000000000001" customHeight="1" x14ac:dyDescent="0.25">
      <c r="F338"/>
    </row>
    <row r="339" spans="6:6" ht="20.100000000000001" customHeight="1" x14ac:dyDescent="0.25">
      <c r="F339"/>
    </row>
    <row r="340" spans="6:6" ht="20.100000000000001" customHeight="1" x14ac:dyDescent="0.25">
      <c r="F340"/>
    </row>
    <row r="341" spans="6:6" ht="20.100000000000001" customHeight="1" x14ac:dyDescent="0.25">
      <c r="F341"/>
    </row>
    <row r="342" spans="6:6" ht="20.100000000000001" customHeight="1" x14ac:dyDescent="0.25">
      <c r="F342"/>
    </row>
    <row r="343" spans="6:6" ht="20.100000000000001" customHeight="1" x14ac:dyDescent="0.25">
      <c r="F343"/>
    </row>
    <row r="344" spans="6:6" ht="20.100000000000001" customHeight="1" x14ac:dyDescent="0.25">
      <c r="F344"/>
    </row>
    <row r="345" spans="6:6" ht="20.100000000000001" customHeight="1" x14ac:dyDescent="0.25">
      <c r="F345"/>
    </row>
    <row r="346" spans="6:6" ht="20.100000000000001" customHeight="1" x14ac:dyDescent="0.25">
      <c r="F346"/>
    </row>
    <row r="347" spans="6:6" ht="20.100000000000001" customHeight="1" x14ac:dyDescent="0.25">
      <c r="F347"/>
    </row>
    <row r="348" spans="6:6" ht="20.100000000000001" customHeight="1" x14ac:dyDescent="0.25">
      <c r="F348"/>
    </row>
    <row r="349" spans="6:6" ht="20.100000000000001" customHeight="1" x14ac:dyDescent="0.25">
      <c r="F349"/>
    </row>
    <row r="350" spans="6:6" ht="20.100000000000001" customHeight="1" x14ac:dyDescent="0.25">
      <c r="F350"/>
    </row>
    <row r="351" spans="6:6" ht="20.100000000000001" customHeight="1" x14ac:dyDescent="0.25">
      <c r="F351"/>
    </row>
    <row r="352" spans="6:6" ht="20.100000000000001" customHeight="1" x14ac:dyDescent="0.25">
      <c r="F352"/>
    </row>
    <row r="353" spans="6:6" ht="20.100000000000001" customHeight="1" x14ac:dyDescent="0.25">
      <c r="F353"/>
    </row>
    <row r="354" spans="6:6" ht="20.100000000000001" customHeight="1" x14ac:dyDescent="0.25">
      <c r="F354"/>
    </row>
    <row r="355" spans="6:6" ht="20.100000000000001" customHeight="1" x14ac:dyDescent="0.25">
      <c r="F355"/>
    </row>
    <row r="356" spans="6:6" ht="20.100000000000001" customHeight="1" x14ac:dyDescent="0.25">
      <c r="F356"/>
    </row>
    <row r="357" spans="6:6" ht="20.100000000000001" customHeight="1" x14ac:dyDescent="0.25">
      <c r="F357"/>
    </row>
    <row r="358" spans="6:6" ht="20.100000000000001" customHeight="1" x14ac:dyDescent="0.25">
      <c r="F358"/>
    </row>
    <row r="359" spans="6:6" ht="20.100000000000001" customHeight="1" x14ac:dyDescent="0.25">
      <c r="F359"/>
    </row>
    <row r="360" spans="6:6" ht="20.100000000000001" customHeight="1" x14ac:dyDescent="0.25">
      <c r="F360"/>
    </row>
    <row r="361" spans="6:6" ht="20.100000000000001" customHeight="1" x14ac:dyDescent="0.25">
      <c r="F361"/>
    </row>
    <row r="362" spans="6:6" ht="20.100000000000001" customHeight="1" x14ac:dyDescent="0.25">
      <c r="F362"/>
    </row>
    <row r="363" spans="6:6" ht="20.100000000000001" customHeight="1" x14ac:dyDescent="0.25">
      <c r="F363"/>
    </row>
    <row r="364" spans="6:6" ht="20.100000000000001" customHeight="1" x14ac:dyDescent="0.25">
      <c r="F364"/>
    </row>
    <row r="365" spans="6:6" ht="20.100000000000001" customHeight="1" x14ac:dyDescent="0.25">
      <c r="F365"/>
    </row>
    <row r="366" spans="6:6" ht="20.100000000000001" customHeight="1" x14ac:dyDescent="0.25">
      <c r="F366"/>
    </row>
    <row r="367" spans="6:6" ht="20.100000000000001" customHeight="1" x14ac:dyDescent="0.25">
      <c r="F367"/>
    </row>
    <row r="368" spans="6:6" ht="20.100000000000001" customHeight="1" x14ac:dyDescent="0.25">
      <c r="F368"/>
    </row>
    <row r="369" spans="6:6" ht="20.100000000000001" customHeight="1" x14ac:dyDescent="0.25">
      <c r="F369"/>
    </row>
    <row r="370" spans="6:6" ht="20.100000000000001" customHeight="1" x14ac:dyDescent="0.25">
      <c r="F370"/>
    </row>
    <row r="371" spans="6:6" ht="20.100000000000001" customHeight="1" x14ac:dyDescent="0.25">
      <c r="F371"/>
    </row>
    <row r="372" spans="6:6" ht="20.100000000000001" customHeight="1" x14ac:dyDescent="0.25">
      <c r="F372"/>
    </row>
    <row r="373" spans="6:6" ht="20.100000000000001" customHeight="1" x14ac:dyDescent="0.25">
      <c r="F373"/>
    </row>
    <row r="374" spans="6:6" ht="20.100000000000001" customHeight="1" x14ac:dyDescent="0.25">
      <c r="F374"/>
    </row>
    <row r="375" spans="6:6" ht="20.100000000000001" customHeight="1" x14ac:dyDescent="0.25">
      <c r="F375"/>
    </row>
    <row r="376" spans="6:6" ht="20.100000000000001" customHeight="1" x14ac:dyDescent="0.25">
      <c r="F376"/>
    </row>
    <row r="377" spans="6:6" ht="20.100000000000001" customHeight="1" x14ac:dyDescent="0.25">
      <c r="F377"/>
    </row>
    <row r="378" spans="6:6" ht="20.100000000000001" customHeight="1" x14ac:dyDescent="0.25">
      <c r="F378"/>
    </row>
    <row r="379" spans="6:6" ht="20.100000000000001" customHeight="1" x14ac:dyDescent="0.25">
      <c r="F379"/>
    </row>
    <row r="380" spans="6:6" ht="20.100000000000001" customHeight="1" x14ac:dyDescent="0.25">
      <c r="F380"/>
    </row>
    <row r="381" spans="6:6" ht="20.100000000000001" customHeight="1" x14ac:dyDescent="0.25">
      <c r="F381"/>
    </row>
    <row r="382" spans="6:6" ht="20.100000000000001" customHeight="1" x14ac:dyDescent="0.25">
      <c r="F382"/>
    </row>
    <row r="383" spans="6:6" ht="20.100000000000001" customHeight="1" x14ac:dyDescent="0.25">
      <c r="F383"/>
    </row>
    <row r="384" spans="6:6" ht="20.100000000000001" customHeight="1" x14ac:dyDescent="0.25">
      <c r="F384"/>
    </row>
    <row r="385" spans="6:6" ht="20.100000000000001" customHeight="1" x14ac:dyDescent="0.25">
      <c r="F385"/>
    </row>
    <row r="386" spans="6:6" ht="20.100000000000001" customHeight="1" x14ac:dyDescent="0.25">
      <c r="F386"/>
    </row>
  </sheetData>
  <mergeCells count="5">
    <mergeCell ref="A16:A19"/>
    <mergeCell ref="A82:A83"/>
    <mergeCell ref="A35:A36"/>
    <mergeCell ref="A103:A104"/>
    <mergeCell ref="A208:A210"/>
  </mergeCells>
  <conditionalFormatting sqref="I154:I203">
    <cfRule type="cellIs" dxfId="4" priority="2" operator="equal">
      <formula>MAX($I$154:$I$203 )</formula>
    </cfRule>
  </conditionalFormatting>
  <conditionalFormatting sqref="H221:H240">
    <cfRule type="cellIs" dxfId="3" priority="1" operator="equal">
      <formula>MIN($H$221:$H$240 )</formula>
    </cfRule>
  </conditionalFormatting>
  <hyperlinks>
    <hyperlink ref="A38" location="Sales!A1" display="ดู ตาราง Sales"/>
    <hyperlink ref="A16" location="Sales!A1" display="ดู ตาราง Sales"/>
    <hyperlink ref="A48" location="Sales!A1" display="ดู ตาราง Sales"/>
    <hyperlink ref="A59" location="Sales!A1" display="ดู ตาราง Sales"/>
    <hyperlink ref="A73" location="Sales!A1" display="ดู ตาราง Sales"/>
    <hyperlink ref="A85" location="Workspace!A1" display="ดู ตาราง KPI"/>
    <hyperlink ref="A103:A104" location="Employees!A1" display="ยอดขายกำไรแต่ละคน -&gt; Employee"/>
    <hyperlink ref="A107" location="Workspace!A1" display="ดู ตาราง KPI"/>
    <hyperlink ref="A124" location="'Performance, KPI'!A1" display="ดู ตาราง KPI"/>
  </hyperlink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V226"/>
  <sheetViews>
    <sheetView zoomScale="70" zoomScaleNormal="70" workbookViewId="0">
      <selection activeCell="G11" sqref="G11"/>
    </sheetView>
  </sheetViews>
  <sheetFormatPr defaultRowHeight="20.100000000000001" customHeight="1" x14ac:dyDescent="0.25"/>
  <cols>
    <col min="1" max="1" width="18.28515625" customWidth="1"/>
    <col min="2" max="2" width="18.5703125" customWidth="1"/>
    <col min="3" max="3" width="19.85546875" customWidth="1"/>
    <col min="4" max="4" width="19.42578125" customWidth="1"/>
    <col min="5" max="5" width="15.85546875" customWidth="1"/>
    <col min="6" max="6" width="15.28515625" customWidth="1"/>
    <col min="7" max="7" width="17.140625" customWidth="1"/>
    <col min="8" max="8" width="15.85546875" customWidth="1"/>
    <col min="9" max="9" width="16.5703125" bestFit="1" customWidth="1"/>
    <col min="10" max="10" width="16.5703125" customWidth="1"/>
    <col min="11" max="11" width="9.42578125" customWidth="1"/>
    <col min="12" max="12" width="22.140625" customWidth="1"/>
    <col min="13" max="13" width="19.42578125" customWidth="1"/>
    <col min="14" max="14" width="30.28515625" customWidth="1"/>
    <col min="15" max="15" width="25.7109375" customWidth="1"/>
    <col min="16" max="16" width="15" customWidth="1"/>
    <col min="17" max="17" width="18.140625" customWidth="1"/>
    <col min="18" max="18" width="26.140625" customWidth="1"/>
    <col min="19" max="19" width="25.28515625" customWidth="1"/>
    <col min="20" max="77" width="8.140625" customWidth="1"/>
    <col min="78" max="170" width="9.140625" customWidth="1"/>
    <col min="171" max="174" width="10.140625" customWidth="1"/>
    <col min="175" max="175" width="15" customWidth="1"/>
    <col min="176" max="196" width="6" customWidth="1"/>
    <col min="197" max="197" width="15" bestFit="1" customWidth="1"/>
  </cols>
  <sheetData>
    <row r="1" spans="1:22" s="86" customFormat="1" ht="22.5" customHeight="1" x14ac:dyDescent="0.25">
      <c r="A1" s="27" t="s">
        <v>480</v>
      </c>
      <c r="B1" s="45" t="s">
        <v>18</v>
      </c>
      <c r="C1" s="88" t="s">
        <v>756</v>
      </c>
      <c r="D1" s="45" t="s">
        <v>27</v>
      </c>
      <c r="E1" s="45" t="s">
        <v>697</v>
      </c>
      <c r="F1" s="83"/>
      <c r="G1" s="83"/>
      <c r="I1" s="27" t="s">
        <v>480</v>
      </c>
      <c r="J1" s="113" t="s">
        <v>608</v>
      </c>
      <c r="K1" s="45" t="s">
        <v>766</v>
      </c>
      <c r="L1" s="84"/>
      <c r="M1" s="83"/>
      <c r="N1" s="83"/>
      <c r="O1" s="83"/>
      <c r="P1" s="83"/>
      <c r="Q1" s="83"/>
      <c r="R1" s="85"/>
      <c r="S1" s="85"/>
      <c r="T1" s="83"/>
      <c r="U1" s="83"/>
      <c r="V1" s="83"/>
    </row>
    <row r="2" spans="1:22" ht="20.25" customHeight="1" x14ac:dyDescent="0.25">
      <c r="A2" s="82" t="s">
        <v>590</v>
      </c>
      <c r="B2" s="48">
        <f>COUNTIFS(Sales[Department],Table9[[#This Row],[Department]])</f>
        <v>8</v>
      </c>
      <c r="C2" s="89">
        <f>SUMIF(Sales[Department],Table9[[#This Row],[Department]],Sales[Net_Sales])</f>
        <v>1292825</v>
      </c>
      <c r="D2" s="89">
        <f>SUMIF(Sales[Department],Table9[[#This Row],[Department]],Sales[Profit])</f>
        <v>260725</v>
      </c>
      <c r="E2" s="90">
        <f>Table9[[#This Row],[Profit]]/Table9[[#This Row],[Net_Sales]]</f>
        <v>0.20167075977027052</v>
      </c>
      <c r="F2" s="7"/>
      <c r="G2" s="40"/>
      <c r="H2" s="7"/>
      <c r="I2" s="82" t="s">
        <v>590</v>
      </c>
      <c r="J2" s="105">
        <f>AVERAGEIF(Performance[Department],Avg.Score[[#This Row],[Department]],Performance[Overall_Score])</f>
        <v>91.222222222222229</v>
      </c>
      <c r="K2" s="87">
        <f>RANK(Avg.Score[[#This Row],[Overall_Score]],Avg.Score[Overall_Score])</f>
        <v>3</v>
      </c>
      <c r="L2" s="18"/>
      <c r="T2" s="76"/>
      <c r="U2" s="76"/>
      <c r="V2" s="78"/>
    </row>
    <row r="3" spans="1:22" ht="20.100000000000001" customHeight="1" x14ac:dyDescent="0.25">
      <c r="A3" s="82" t="s">
        <v>520</v>
      </c>
      <c r="B3" s="48">
        <f>COUNTIFS(Sales[Department],Table9[[#This Row],[Department]])</f>
        <v>18</v>
      </c>
      <c r="C3" s="89">
        <f>SUMIF(Sales[Department],Table9[[#This Row],[Department]],Sales[Net_Sales])</f>
        <v>855421</v>
      </c>
      <c r="D3" s="89">
        <f>SUMIF(Sales[Department],Table9[[#This Row],[Department]],Sales[Profit])</f>
        <v>237471</v>
      </c>
      <c r="E3" s="90">
        <f>Table9[[#This Row],[Profit]]/Table9[[#This Row],[Net_Sales]]</f>
        <v>0.27760716652969708</v>
      </c>
      <c r="F3" s="7"/>
      <c r="G3" s="40"/>
      <c r="H3" s="7"/>
      <c r="I3" s="82" t="s">
        <v>520</v>
      </c>
      <c r="J3" s="105">
        <f>AVERAGEIF(Performance[Department],Avg.Score[[#This Row],[Department]],Performance[Overall_Score])</f>
        <v>90.891666666666666</v>
      </c>
      <c r="K3" s="87">
        <f>RANK(Avg.Score[[#This Row],[Overall_Score]],Avg.Score[Overall_Score])</f>
        <v>4</v>
      </c>
      <c r="L3" s="18"/>
      <c r="P3" s="81" t="s">
        <v>756</v>
      </c>
      <c r="Q3" t="s">
        <v>762</v>
      </c>
      <c r="T3" s="76"/>
      <c r="U3" s="76"/>
      <c r="V3" s="78"/>
    </row>
    <row r="4" spans="1:22" ht="20.100000000000001" customHeight="1" x14ac:dyDescent="0.25">
      <c r="A4" s="82" t="s">
        <v>547</v>
      </c>
      <c r="B4" s="48">
        <f>COUNTIFS(Sales[Department],Table9[[#This Row],[Department]])</f>
        <v>13</v>
      </c>
      <c r="C4" s="89">
        <f>SUMIF(Sales[Department],Table9[[#This Row],[Department]],Sales[Net_Sales])</f>
        <v>1640364</v>
      </c>
      <c r="D4" s="89">
        <f>SUMIF(Sales[Department],Table9[[#This Row],[Department]],Sales[Profit])</f>
        <v>336164</v>
      </c>
      <c r="E4" s="90">
        <f>Table9[[#This Row],[Profit]]/Table9[[#This Row],[Net_Sales]]</f>
        <v>0.20493256374804616</v>
      </c>
      <c r="F4" s="7"/>
      <c r="G4" s="40"/>
      <c r="H4" s="7"/>
      <c r="I4" s="82" t="s">
        <v>547</v>
      </c>
      <c r="J4" s="105">
        <f>AVERAGEIF(Performance[Department],Avg.Score[[#This Row],[Department]],Performance[Overall_Score])</f>
        <v>87.649999999999991</v>
      </c>
      <c r="K4" s="87">
        <f>RANK(Avg.Score[[#This Row],[Overall_Score]],Avg.Score[Overall_Score])</f>
        <v>7</v>
      </c>
      <c r="L4" s="18"/>
      <c r="T4" s="76"/>
      <c r="U4" s="76"/>
      <c r="V4" s="78"/>
    </row>
    <row r="5" spans="1:22" ht="20.100000000000001" customHeight="1" x14ac:dyDescent="0.25">
      <c r="A5" s="82" t="s">
        <v>535</v>
      </c>
      <c r="B5" s="48">
        <f>COUNTIFS(Sales[Department],Table9[[#This Row],[Department]])</f>
        <v>21</v>
      </c>
      <c r="C5" s="89">
        <f>SUMIF(Sales[Department],Table9[[#This Row],[Department]],Sales[Net_Sales])</f>
        <v>1640647</v>
      </c>
      <c r="D5" s="89">
        <f>SUMIF(Sales[Department],Table9[[#This Row],[Department]],Sales[Profit])</f>
        <v>421647</v>
      </c>
      <c r="E5" s="90">
        <f>Table9[[#This Row],[Profit]]/Table9[[#This Row],[Net_Sales]]</f>
        <v>0.25700043946077372</v>
      </c>
      <c r="F5" s="7"/>
      <c r="G5" s="40"/>
      <c r="H5" s="7"/>
      <c r="I5" s="82" t="s">
        <v>535</v>
      </c>
      <c r="J5" s="105">
        <f>AVERAGEIF(Performance[Department],Avg.Score[[#This Row],[Department]],Performance[Overall_Score])</f>
        <v>91.77000000000001</v>
      </c>
      <c r="K5" s="87">
        <f>RANK(Avg.Score[[#This Row],[Overall_Score]],Avg.Score[Overall_Score])</f>
        <v>2</v>
      </c>
      <c r="L5" s="18"/>
      <c r="P5" s="81" t="s">
        <v>777</v>
      </c>
    </row>
    <row r="6" spans="1:22" ht="20.100000000000001" customHeight="1" x14ac:dyDescent="0.25">
      <c r="A6" s="82" t="s">
        <v>579</v>
      </c>
      <c r="B6" s="48">
        <f>COUNTIFS(Sales[Department],Table9[[#This Row],[Department]])</f>
        <v>19</v>
      </c>
      <c r="C6" s="89">
        <f>SUMIF(Sales[Department],Table9[[#This Row],[Department]],Sales[Net_Sales])</f>
        <v>1174686</v>
      </c>
      <c r="D6" s="89">
        <f>SUMIF(Sales[Department],Table9[[#This Row],[Department]],Sales[Profit])</f>
        <v>224986</v>
      </c>
      <c r="E6" s="90">
        <f>Table9[[#This Row],[Profit]]/Table9[[#This Row],[Net_Sales]]</f>
        <v>0.19152862977851101</v>
      </c>
      <c r="F6" s="7"/>
      <c r="G6" s="40"/>
      <c r="H6" s="7"/>
      <c r="I6" s="114" t="s">
        <v>579</v>
      </c>
      <c r="J6" s="115">
        <f>AVERAGEIF(Performance[Department],Avg.Score[[#This Row],[Department]],Performance[Overall_Score])</f>
        <v>93.86</v>
      </c>
      <c r="K6" s="116">
        <f>RANK(Avg.Score[[#This Row],[Overall_Score]],Avg.Score[Overall_Score])</f>
        <v>1</v>
      </c>
      <c r="L6" s="18"/>
      <c r="P6" s="82" t="s">
        <v>590</v>
      </c>
    </row>
    <row r="7" spans="1:22" ht="20.100000000000001" customHeight="1" x14ac:dyDescent="0.25">
      <c r="A7" s="82" t="s">
        <v>478</v>
      </c>
      <c r="B7" s="48">
        <f>COUNTIFS(Sales[Department],Table9[[#This Row],[Department]])</f>
        <v>42</v>
      </c>
      <c r="C7" s="89">
        <f>SUMIF(Sales[Department],Table9[[#This Row],[Department]],Sales[Net_Sales])</f>
        <v>4550831</v>
      </c>
      <c r="D7" s="89">
        <f>SUMIF(Sales[Department],Table9[[#This Row],[Department]],Sales[Profit])</f>
        <v>899481</v>
      </c>
      <c r="E7" s="90">
        <f>Table9[[#This Row],[Profit]]/Table9[[#This Row],[Net_Sales]]</f>
        <v>0.19765203322206429</v>
      </c>
      <c r="F7" s="7"/>
      <c r="G7" s="40"/>
      <c r="H7" s="7"/>
      <c r="I7" s="82" t="s">
        <v>478</v>
      </c>
      <c r="J7" s="105">
        <f>AVERAGEIF(Performance[Department],Avg.Score[[#This Row],[Department]],Performance[Overall_Score])</f>
        <v>90.044444444444423</v>
      </c>
      <c r="K7" s="87">
        <f>RANK(Avg.Score[[#This Row],[Overall_Score]],Avg.Score[Overall_Score])</f>
        <v>5</v>
      </c>
      <c r="L7" s="18"/>
      <c r="P7" s="82" t="s">
        <v>520</v>
      </c>
    </row>
    <row r="8" spans="1:22" ht="20.100000000000001" customHeight="1" x14ac:dyDescent="0.25">
      <c r="A8" s="82" t="s">
        <v>485</v>
      </c>
      <c r="B8" s="48">
        <f>COUNTIFS(Sales[Department],Table9[[#This Row],[Department]])</f>
        <v>59</v>
      </c>
      <c r="C8" s="89">
        <f>SUMIF(Sales[Department],Table9[[#This Row],[Department]],Sales[Net_Sales])</f>
        <v>6894665</v>
      </c>
      <c r="D8" s="89">
        <f>SUMIF(Sales[Department],Table9[[#This Row],[Department]],Sales[Profit])</f>
        <v>1340015</v>
      </c>
      <c r="E8" s="90">
        <f>Table9[[#This Row],[Profit]]/Table9[[#This Row],[Net_Sales]]</f>
        <v>0.1943553457637173</v>
      </c>
      <c r="F8" s="7"/>
      <c r="G8" s="40"/>
      <c r="H8" s="7"/>
      <c r="I8" s="82" t="s">
        <v>485</v>
      </c>
      <c r="J8" s="105">
        <f>AVERAGEIF(Performance[Department],Avg.Score[[#This Row],[Department]],Performance[Overall_Score])</f>
        <v>89.950000000000031</v>
      </c>
      <c r="K8" s="87">
        <f>RANK(Avg.Score[[#This Row],[Overall_Score]],Avg.Score[Overall_Score])</f>
        <v>6</v>
      </c>
      <c r="L8" s="18"/>
      <c r="P8" s="82" t="s">
        <v>547</v>
      </c>
    </row>
    <row r="9" spans="1:22" ht="20.100000000000001" customHeight="1" x14ac:dyDescent="0.25">
      <c r="A9" s="91" t="s">
        <v>760</v>
      </c>
      <c r="B9" s="92">
        <f>SUBTOTAL(109,Table9[Sale_ID])</f>
        <v>180</v>
      </c>
      <c r="C9" s="92">
        <f>SUBTOTAL(109,Table9[Net_Sales])</f>
        <v>18049439</v>
      </c>
      <c r="D9" s="92">
        <f>SUBTOTAL(109,Table9[Profit])</f>
        <v>3720489</v>
      </c>
      <c r="E9" s="93"/>
      <c r="F9" s="7"/>
      <c r="G9" s="40"/>
      <c r="H9" s="7"/>
      <c r="I9" s="112"/>
      <c r="J9" s="7"/>
      <c r="K9" s="4"/>
      <c r="L9" s="18"/>
      <c r="P9" s="82" t="s">
        <v>535</v>
      </c>
    </row>
    <row r="10" spans="1:22" ht="20.100000000000001" customHeight="1" x14ac:dyDescent="0.25">
      <c r="B10" s="6"/>
      <c r="C10" s="4"/>
      <c r="D10" s="4"/>
      <c r="E10" s="4"/>
      <c r="F10" s="7"/>
      <c r="G10" s="40"/>
      <c r="H10" s="7"/>
      <c r="I10" s="33"/>
      <c r="J10" s="7"/>
      <c r="K10" s="4"/>
      <c r="L10" s="18"/>
      <c r="P10" s="82" t="s">
        <v>579</v>
      </c>
    </row>
    <row r="11" spans="1:22" ht="20.100000000000001" customHeight="1" x14ac:dyDescent="0.25">
      <c r="B11" s="6"/>
      <c r="C11" s="4"/>
      <c r="D11" s="4"/>
      <c r="E11" s="4"/>
      <c r="F11" s="7"/>
      <c r="G11" s="40"/>
      <c r="H11" s="7"/>
      <c r="I11" s="33"/>
      <c r="J11" s="7"/>
      <c r="K11" s="4"/>
      <c r="L11" s="18"/>
      <c r="P11" s="82" t="s">
        <v>478</v>
      </c>
    </row>
    <row r="12" spans="1:22" ht="20.100000000000001" customHeight="1" x14ac:dyDescent="0.25">
      <c r="B12" s="6"/>
      <c r="C12" s="4"/>
      <c r="D12" s="4"/>
      <c r="E12" s="4"/>
      <c r="F12" s="7"/>
      <c r="G12" s="40"/>
      <c r="H12" s="7"/>
      <c r="I12" s="33"/>
      <c r="J12" s="7"/>
      <c r="K12" s="4"/>
      <c r="L12" s="18"/>
      <c r="P12" s="82" t="s">
        <v>485</v>
      </c>
    </row>
    <row r="13" spans="1:22" ht="20.100000000000001" customHeight="1" x14ac:dyDescent="0.25">
      <c r="B13" s="6"/>
      <c r="C13" s="4"/>
      <c r="D13" s="4"/>
      <c r="E13" s="4"/>
      <c r="F13" s="7"/>
      <c r="G13" s="40"/>
      <c r="H13" s="7"/>
      <c r="I13" s="33"/>
      <c r="J13" s="7"/>
      <c r="K13" s="4"/>
      <c r="L13" s="18"/>
      <c r="P13" s="82" t="s">
        <v>759</v>
      </c>
    </row>
    <row r="14" spans="1:22" ht="20.100000000000001" customHeight="1" x14ac:dyDescent="0.25">
      <c r="A14" s="17"/>
      <c r="B14" s="6"/>
      <c r="C14" s="4"/>
      <c r="D14" s="4"/>
      <c r="E14" s="4"/>
      <c r="F14" s="7"/>
      <c r="G14" s="40"/>
      <c r="H14" s="7"/>
      <c r="I14" s="33"/>
      <c r="J14" s="7"/>
      <c r="K14" s="4"/>
      <c r="L14" s="18"/>
    </row>
    <row r="15" spans="1:22" ht="20.100000000000001" customHeight="1" x14ac:dyDescent="0.25">
      <c r="A15" s="17"/>
      <c r="B15" s="6"/>
      <c r="C15" s="4"/>
      <c r="D15" s="4"/>
      <c r="E15" s="4"/>
      <c r="F15" s="7"/>
      <c r="G15" s="40"/>
      <c r="H15" s="7"/>
      <c r="I15" s="33"/>
      <c r="J15" s="7"/>
      <c r="K15" s="4"/>
      <c r="L15" s="18"/>
    </row>
    <row r="16" spans="1:22" ht="20.100000000000001" customHeight="1" x14ac:dyDescent="0.25">
      <c r="A16" s="17"/>
      <c r="B16" s="6"/>
      <c r="C16" s="4"/>
      <c r="D16" s="4"/>
      <c r="E16" s="4"/>
      <c r="F16" s="7"/>
      <c r="G16" s="40"/>
      <c r="H16" s="7"/>
      <c r="I16" s="33"/>
    </row>
    <row r="17" spans="1:19" ht="20.100000000000001" customHeight="1" x14ac:dyDescent="0.25">
      <c r="A17" s="17"/>
      <c r="B17" s="6"/>
      <c r="C17" s="4"/>
      <c r="D17" s="4"/>
      <c r="E17" s="4"/>
      <c r="F17" s="7"/>
      <c r="G17" s="40"/>
      <c r="H17" s="7"/>
      <c r="I17" s="33"/>
    </row>
    <row r="18" spans="1:19" ht="20.100000000000001" customHeight="1" x14ac:dyDescent="0.25">
      <c r="A18" s="17"/>
      <c r="B18" s="6"/>
      <c r="C18" s="4"/>
      <c r="D18" s="4"/>
      <c r="E18" s="4"/>
      <c r="F18" s="7"/>
      <c r="G18" s="40"/>
      <c r="H18" s="7"/>
      <c r="I18" s="33"/>
    </row>
    <row r="19" spans="1:19" ht="20.100000000000001" customHeight="1" x14ac:dyDescent="0.25">
      <c r="A19" s="17"/>
      <c r="B19" s="6"/>
      <c r="C19" s="4"/>
      <c r="D19" s="4"/>
      <c r="E19" s="4"/>
      <c r="F19" s="7"/>
      <c r="G19" s="40"/>
      <c r="H19" s="7"/>
      <c r="I19" s="33"/>
    </row>
    <row r="20" spans="1:19" ht="20.100000000000001" customHeight="1" x14ac:dyDescent="0.25">
      <c r="A20" s="17"/>
      <c r="B20" s="6"/>
      <c r="C20" s="4"/>
      <c r="D20" s="4"/>
      <c r="E20" s="4"/>
      <c r="F20" s="7"/>
      <c r="G20" s="40"/>
      <c r="H20" s="7"/>
      <c r="I20" s="33"/>
      <c r="P20" s="81" t="s">
        <v>808</v>
      </c>
      <c r="Q20" t="s">
        <v>809</v>
      </c>
      <c r="R20" t="s">
        <v>810</v>
      </c>
      <c r="S20" t="s">
        <v>811</v>
      </c>
    </row>
    <row r="21" spans="1:19" ht="20.100000000000001" customHeight="1" x14ac:dyDescent="0.25">
      <c r="A21" s="17"/>
      <c r="B21" s="6"/>
      <c r="C21" s="4"/>
      <c r="D21" s="4"/>
      <c r="E21" s="4"/>
      <c r="F21" s="7"/>
      <c r="G21" s="40"/>
      <c r="H21" s="7"/>
      <c r="I21" s="33"/>
      <c r="P21" s="82" t="s">
        <v>44</v>
      </c>
      <c r="Q21" s="159">
        <v>817179</v>
      </c>
      <c r="R21" s="159">
        <v>3612629</v>
      </c>
      <c r="S21" s="159">
        <v>2795450</v>
      </c>
    </row>
    <row r="22" spans="1:19" ht="20.100000000000001" customHeight="1" x14ac:dyDescent="0.25">
      <c r="A22" s="17"/>
      <c r="B22" s="6"/>
      <c r="C22" s="4"/>
      <c r="D22" s="4"/>
      <c r="E22" s="4"/>
      <c r="F22" s="7"/>
      <c r="G22" s="40"/>
      <c r="H22" s="7"/>
      <c r="I22" s="33"/>
      <c r="P22" s="82" t="s">
        <v>63</v>
      </c>
      <c r="Q22" s="159">
        <v>760022</v>
      </c>
      <c r="R22" s="159">
        <v>3973722</v>
      </c>
      <c r="S22" s="159">
        <v>3213700</v>
      </c>
    </row>
    <row r="23" spans="1:19" ht="20.100000000000001" customHeight="1" x14ac:dyDescent="0.25">
      <c r="A23" s="17"/>
      <c r="B23" s="6"/>
      <c r="C23" s="4"/>
      <c r="D23" s="4"/>
      <c r="E23" s="4"/>
      <c r="F23" s="7"/>
      <c r="G23" s="40"/>
      <c r="H23" s="7"/>
      <c r="I23" s="33"/>
      <c r="P23" s="82" t="s">
        <v>102</v>
      </c>
      <c r="Q23" s="159">
        <v>771111</v>
      </c>
      <c r="R23" s="159">
        <v>3579861</v>
      </c>
      <c r="S23" s="159">
        <v>2808750</v>
      </c>
    </row>
    <row r="24" spans="1:19" ht="20.100000000000001" customHeight="1" x14ac:dyDescent="0.25">
      <c r="A24" s="17"/>
      <c r="B24" s="6"/>
      <c r="C24" s="4"/>
      <c r="D24" s="4"/>
      <c r="E24" s="4"/>
      <c r="F24" s="7"/>
      <c r="G24" s="40"/>
      <c r="H24" s="7"/>
      <c r="I24" s="33"/>
      <c r="P24" s="82" t="s">
        <v>34</v>
      </c>
      <c r="Q24" s="159">
        <v>500816</v>
      </c>
      <c r="R24" s="159">
        <v>3377016</v>
      </c>
      <c r="S24" s="159">
        <v>2876200</v>
      </c>
    </row>
    <row r="25" spans="1:19" ht="20.100000000000001" customHeight="1" x14ac:dyDescent="0.25">
      <c r="A25" s="17"/>
      <c r="B25" s="6"/>
      <c r="C25" s="4"/>
      <c r="D25" s="4"/>
      <c r="E25" s="4"/>
      <c r="F25" s="7"/>
      <c r="G25" s="40"/>
      <c r="H25" s="7"/>
      <c r="I25" s="33"/>
      <c r="P25" s="82" t="s">
        <v>39</v>
      </c>
      <c r="Q25" s="159">
        <v>871361</v>
      </c>
      <c r="R25" s="159">
        <v>3506211</v>
      </c>
      <c r="S25" s="159">
        <v>2634850</v>
      </c>
    </row>
    <row r="26" spans="1:19" ht="20.100000000000001" customHeight="1" x14ac:dyDescent="0.25">
      <c r="A26" s="17"/>
      <c r="B26" s="6"/>
      <c r="C26" s="4"/>
      <c r="D26" s="4"/>
      <c r="E26" s="4"/>
      <c r="F26" s="7"/>
      <c r="G26" s="40"/>
      <c r="H26" s="7"/>
      <c r="I26" s="33"/>
      <c r="P26" s="82" t="s">
        <v>759</v>
      </c>
      <c r="Q26" s="159">
        <v>3720489</v>
      </c>
      <c r="R26" s="159">
        <v>18049439</v>
      </c>
      <c r="S26" s="159">
        <v>14328950</v>
      </c>
    </row>
    <row r="27" spans="1:19" ht="20.100000000000001" customHeight="1" x14ac:dyDescent="0.25">
      <c r="A27" s="22"/>
      <c r="B27" s="23"/>
      <c r="C27" s="4"/>
      <c r="D27" s="4"/>
      <c r="E27" s="4"/>
      <c r="F27" s="7"/>
      <c r="G27" s="40"/>
      <c r="H27" s="7"/>
      <c r="I27" s="33"/>
    </row>
    <row r="28" spans="1:19" ht="20.100000000000001" customHeight="1" x14ac:dyDescent="0.25">
      <c r="A28" s="99" t="s">
        <v>764</v>
      </c>
      <c r="B28" s="98" t="s">
        <v>763</v>
      </c>
      <c r="C28" s="99" t="s">
        <v>480</v>
      </c>
      <c r="D28" s="99" t="s">
        <v>767</v>
      </c>
      <c r="F28" s="102" t="s">
        <v>765</v>
      </c>
      <c r="G28" s="103" t="s">
        <v>763</v>
      </c>
      <c r="H28" s="102" t="s">
        <v>480</v>
      </c>
      <c r="I28" s="104" t="s">
        <v>27</v>
      </c>
      <c r="J28" s="33"/>
    </row>
    <row r="29" spans="1:19" ht="20.100000000000001" customHeight="1" x14ac:dyDescent="0.25">
      <c r="A29" s="94">
        <v>1</v>
      </c>
      <c r="B29" s="95" t="str">
        <f>INDEX(Employees[#All],MATCH(LARGE(Employees[Net_Sales],Top10_Sales[[#This Row],[Rank_Sales]]),Employees[[#All],[Net_Sales]],0),MATCH("Employee_Name",Employees[#Headers],0))</f>
        <v>ปวีณา วัฒนชัย</v>
      </c>
      <c r="C29" s="95" t="str">
        <f>INDEX(Employees[#All],MATCH(Top10_Sales[[#This Row],[Employee]],Employees[[#All],[Employee_Name]],0),MATCH(Top10_Sales[[#Headers],[Department]],Employees[#Headers],0))</f>
        <v>Sales</v>
      </c>
      <c r="D29" s="55">
        <f>INDEX(Employees[#All],MATCH(Top10_Sales[[#This Row],[Employee]],Employees[[#All],[Employee_Name]],0),MATCH("Net_Sales",Employees[#Headers],0))</f>
        <v>1255431</v>
      </c>
      <c r="F29" s="94">
        <v>1</v>
      </c>
      <c r="G29" s="95" t="str">
        <f>INDEX(Employees[#All],MATCH(LARGE(Employees[Profit],Top10_Profit[[#This Row],[Rank_Profit]]),Employees[[#All],[Profit]],0),MATCH("Employee_Name",Employees[#Headers],0))</f>
        <v>ปวีณา วัฒนชัย</v>
      </c>
      <c r="H29" s="4" t="str">
        <f>INDEX(Employees[#All],MATCH(Top10_Profit[[#This Row],[Employee]],Employees[[#All],[Employee_Name]],0),MATCH(Top10_Sales[[#Headers],[Department]],Employees[#Headers],0))</f>
        <v>Sales</v>
      </c>
      <c r="I29" s="31">
        <f>INDEX(Employees[#All],MATCH(Top10_Profit[[#This Row],[Employee]],Employees[[#All],[Employee_Name]],0),MATCH(Top10_Profit[[#Headers],[Profit]],Employees[#Headers],0))</f>
        <v>189631</v>
      </c>
      <c r="J29" s="33"/>
      <c r="P29" s="81" t="s">
        <v>808</v>
      </c>
      <c r="Q29" t="s">
        <v>809</v>
      </c>
      <c r="R29" t="s">
        <v>810</v>
      </c>
      <c r="S29" t="s">
        <v>811</v>
      </c>
    </row>
    <row r="30" spans="1:19" ht="20.100000000000001" customHeight="1" x14ac:dyDescent="0.25">
      <c r="A30" s="94">
        <v>2</v>
      </c>
      <c r="B30" s="95" t="str">
        <f>INDEX(Employees[#All],MATCH(LARGE(Employees[Net_Sales],Top10_Sales[[#This Row],[Rank_Sales]]),Employees[[#All],[Net_Sales]],0),MATCH("Employee_Name",Employees[#Headers],0))</f>
        <v>ชญานิศ พิบูลย์</v>
      </c>
      <c r="C30" s="6" t="str">
        <f>INDEX(Employees[#All],MATCH(Top10_Sales[[#This Row],[Employee]],Employees[[#All],[Employee_Name]],0),MATCH(Top10_Sales[[#Headers],[Department]],Employees[#Headers],0))</f>
        <v>Operations</v>
      </c>
      <c r="D30" s="29">
        <f>INDEX(Employees[#All],MATCH(Top10_Sales[[#This Row],[Employee]],Employees[[#All],[Employee_Name]],0),MATCH("Net_Sales",Employees[#Headers],0))</f>
        <v>1245920</v>
      </c>
      <c r="F30" s="94">
        <v>2</v>
      </c>
      <c r="G30" s="95" t="str">
        <f>INDEX(Employees[#All],MATCH(LARGE(Employees[Profit],Top10_Profit[[#This Row],[Rank_Profit]]),Employees[[#All],[Profit]],0),MATCH("Employee_Name",Employees[#Headers],0))</f>
        <v>มนัสวี ธรรมรักษ์</v>
      </c>
      <c r="H30" s="4" t="str">
        <f>INDEX(Employees[#All],MATCH(Top10_Profit[[#This Row],[Employee]],Employees[[#All],[Employee_Name]],0),MATCH(Top10_Sales[[#Headers],[Department]],Employees[#Headers],0))</f>
        <v>Operations</v>
      </c>
      <c r="I30" s="31">
        <f>INDEX(Employees[#All],MATCH(Top10_Profit[[#This Row],[Employee]],Employees[[#All],[Employee_Name]],0),MATCH(Top10_Profit[[#Headers],[Profit]],Employees[#Headers],0))</f>
        <v>164000</v>
      </c>
      <c r="J30" s="33"/>
      <c r="P30" s="82" t="s">
        <v>394</v>
      </c>
      <c r="Q30" s="159">
        <v>1113960</v>
      </c>
      <c r="R30" s="159">
        <v>5038460</v>
      </c>
      <c r="S30" s="159">
        <v>3924500</v>
      </c>
    </row>
    <row r="31" spans="1:19" ht="20.100000000000001" customHeight="1" x14ac:dyDescent="0.25">
      <c r="A31" s="94">
        <v>3</v>
      </c>
      <c r="B31" s="95" t="str">
        <f>INDEX(Employees[#All],MATCH(LARGE(Employees[Net_Sales],Top10_Sales[[#This Row],[Rank_Sales]]),Employees[[#All],[Net_Sales]],0),MATCH("Employee_Name",Employees[#Headers],0))</f>
        <v>วรเมธ กาญจนวัฒน์</v>
      </c>
      <c r="C31" s="6" t="str">
        <f>INDEX(Employees[#All],MATCH(Top10_Sales[[#This Row],[Employee]],Employees[[#All],[Employee_Name]],0),MATCH(Top10_Sales[[#Headers],[Department]],Employees[#Headers],0))</f>
        <v>Sales</v>
      </c>
      <c r="D31" s="29">
        <f>INDEX(Employees[#All],MATCH(Top10_Sales[[#This Row],[Employee]],Employees[[#All],[Employee_Name]],0),MATCH("Net_Sales",Employees[#Headers],0))</f>
        <v>849330</v>
      </c>
      <c r="F31" s="94">
        <v>3</v>
      </c>
      <c r="G31" s="95" t="str">
        <f>INDEX(Employees[#All],MATCH(LARGE(Employees[Profit],Top10_Profit[[#This Row],[Rank_Profit]]),Employees[[#All],[Profit]],0),MATCH("Employee_Name",Employees[#Headers],0))</f>
        <v>ชญานิศ พิบูลย์</v>
      </c>
      <c r="H31" s="4" t="str">
        <f>INDEX(Employees[#All],MATCH(Top10_Profit[[#This Row],[Employee]],Employees[[#All],[Employee_Name]],0),MATCH(Top10_Sales[[#Headers],[Department]],Employees[#Headers],0))</f>
        <v>Operations</v>
      </c>
      <c r="I31" s="31">
        <f>INDEX(Employees[#All],MATCH(Top10_Profit[[#This Row],[Employee]],Employees[[#All],[Employee_Name]],0),MATCH(Top10_Profit[[#Headers],[Profit]],Employees[#Headers],0))</f>
        <v>153920</v>
      </c>
      <c r="J31" s="33"/>
      <c r="P31" s="82" t="s">
        <v>398</v>
      </c>
      <c r="Q31" s="159">
        <v>1472789</v>
      </c>
      <c r="R31" s="159">
        <v>7833789</v>
      </c>
      <c r="S31" s="159">
        <v>6361000</v>
      </c>
    </row>
    <row r="32" spans="1:19" ht="20.100000000000001" customHeight="1" x14ac:dyDescent="0.25">
      <c r="A32" s="94">
        <v>4</v>
      </c>
      <c r="B32" s="95" t="str">
        <f>INDEX(Employees[#All],MATCH(LARGE(Employees[Net_Sales],Top10_Sales[[#This Row],[Rank_Sales]]),Employees[[#All],[Net_Sales]],0),MATCH("Employee_Name",Employees[#Headers],0))</f>
        <v>ศรัณย์ อินทรา</v>
      </c>
      <c r="C32" s="6" t="str">
        <f>INDEX(Employees[#All],MATCH(Top10_Sales[[#This Row],[Employee]],Employees[[#All],[Employee_Name]],0),MATCH(Top10_Sales[[#Headers],[Department]],Employees[#Headers],0))</f>
        <v>HR</v>
      </c>
      <c r="D32" s="29">
        <f>INDEX(Employees[#All],MATCH(Top10_Sales[[#This Row],[Employee]],Employees[[#All],[Employee_Name]],0),MATCH("Net_Sales",Employees[#Headers],0))</f>
        <v>796160</v>
      </c>
      <c r="F32" s="94">
        <v>4</v>
      </c>
      <c r="G32" s="95" t="str">
        <f>INDEX(Employees[#All],MATCH(LARGE(Employees[Profit],Top10_Profit[[#This Row],[Rank_Profit]]),Employees[[#All],[Profit]],0),MATCH("Employee_Name",Employees[#Headers],0))</f>
        <v>ศรัณย์ อินทรา</v>
      </c>
      <c r="H32" s="4" t="str">
        <f>INDEX(Employees[#All],MATCH(Top10_Profit[[#This Row],[Employee]],Employees[[#All],[Employee_Name]],0),MATCH(Top10_Sales[[#Headers],[Department]],Employees[#Headers],0))</f>
        <v>HR</v>
      </c>
      <c r="I32" s="31">
        <f>INDEX(Employees[#All],MATCH(Top10_Profit[[#This Row],[Employee]],Employees[[#All],[Employee_Name]],0),MATCH(Top10_Profit[[#Headers],[Profit]],Employees[#Headers],0))</f>
        <v>143160</v>
      </c>
      <c r="J32" s="33"/>
      <c r="P32" s="82" t="s">
        <v>409</v>
      </c>
      <c r="Q32" s="159">
        <v>1133740</v>
      </c>
      <c r="R32" s="159">
        <v>5177190</v>
      </c>
      <c r="S32" s="159">
        <v>4043450</v>
      </c>
    </row>
    <row r="33" spans="1:19" ht="20.100000000000001" customHeight="1" x14ac:dyDescent="0.25">
      <c r="A33" s="94">
        <v>5</v>
      </c>
      <c r="B33" s="95" t="str">
        <f>INDEX(Employees[#All],MATCH(LARGE(Employees[Net_Sales],Top10_Sales[[#This Row],[Rank_Sales]]),Employees[[#All],[Net_Sales]],0),MATCH("Employee_Name",Employees[#Headers],0))</f>
        <v>นราวิชญ์ รุ่งเรือง</v>
      </c>
      <c r="C33" s="6" t="str">
        <f>INDEX(Employees[#All],MATCH(Top10_Sales[[#This Row],[Employee]],Employees[[#All],[Employee_Name]],0),MATCH(Top10_Sales[[#Headers],[Department]],Employees[#Headers],0))</f>
        <v>Sales</v>
      </c>
      <c r="D33" s="29">
        <f>INDEX(Employees[#All],MATCH(Top10_Sales[[#This Row],[Employee]],Employees[[#All],[Employee_Name]],0),MATCH("Net_Sales",Employees[#Headers],0))</f>
        <v>721940</v>
      </c>
      <c r="F33" s="94">
        <v>5</v>
      </c>
      <c r="G33" s="95" t="str">
        <f>INDEX(Employees[#All],MATCH(LARGE(Employees[Profit],Top10_Profit[[#This Row],[Rank_Profit]]),Employees[[#All],[Profit]],0),MATCH("Employee_Name",Employees[#Headers],0))</f>
        <v>ชยพล มณีรัตน์</v>
      </c>
      <c r="H33" s="4" t="str">
        <f>INDEX(Employees[#All],MATCH(Top10_Profit[[#This Row],[Employee]],Employees[[#All],[Employee_Name]],0),MATCH(Top10_Sales[[#Headers],[Department]],Employees[#Headers],0))</f>
        <v>Customer Service</v>
      </c>
      <c r="I33" s="31">
        <f>INDEX(Employees[#All],MATCH(Top10_Profit[[#This Row],[Employee]],Employees[[#All],[Employee_Name]],0),MATCH(Top10_Profit[[#Headers],[Profit]],Employees[#Headers],0))</f>
        <v>124400</v>
      </c>
      <c r="J33" s="33"/>
      <c r="P33" s="82" t="s">
        <v>759</v>
      </c>
      <c r="Q33" s="159">
        <v>3720489</v>
      </c>
      <c r="R33" s="159">
        <v>18049439</v>
      </c>
      <c r="S33" s="159">
        <v>14328950</v>
      </c>
    </row>
    <row r="34" spans="1:19" ht="20.100000000000001" customHeight="1" x14ac:dyDescent="0.25">
      <c r="A34" s="94">
        <v>6</v>
      </c>
      <c r="B34" s="95" t="str">
        <f>INDEX(Employees[#All],MATCH(LARGE(Employees[Net_Sales],Top10_Sales[[#This Row],[Rank_Sales]]),Employees[[#All],[Net_Sales]],0),MATCH("Employee_Name",Employees[#Headers],0))</f>
        <v>มนัสวี ธรรมรักษ์</v>
      </c>
      <c r="C34" s="6" t="str">
        <f>INDEX(Employees[#All],MATCH(Top10_Sales[[#This Row],[Employee]],Employees[[#All],[Employee_Name]],0),MATCH(Top10_Sales[[#Headers],[Department]],Employees[#Headers],0))</f>
        <v>Operations</v>
      </c>
      <c r="D34" s="29">
        <f>INDEX(Employees[#All],MATCH(Top10_Sales[[#This Row],[Employee]],Employees[[#All],[Employee_Name]],0),MATCH("Net_Sales",Employees[#Headers],0))</f>
        <v>663000</v>
      </c>
      <c r="F34" s="94">
        <v>6</v>
      </c>
      <c r="G34" s="95" t="str">
        <f>INDEX(Employees[#All],MATCH(LARGE(Employees[Profit],Top10_Profit[[#This Row],[Rank_Profit]]),Employees[[#All],[Profit]],0),MATCH("Employee_Name",Employees[#Headers],0))</f>
        <v>นราวิชญ์ รุ่งเรือง</v>
      </c>
      <c r="H34" s="4" t="str">
        <f>INDEX(Employees[#All],MATCH(Top10_Profit[[#This Row],[Employee]],Employees[[#All],[Employee_Name]],0),MATCH(Top10_Sales[[#Headers],[Department]],Employees[#Headers],0))</f>
        <v>Sales</v>
      </c>
      <c r="I34" s="31">
        <f>INDEX(Employees[#All],MATCH(Top10_Profit[[#This Row],[Employee]],Employees[[#All],[Employee_Name]],0),MATCH(Top10_Profit[[#Headers],[Profit]],Employees[#Headers],0))</f>
        <v>123040</v>
      </c>
      <c r="J34" s="33"/>
      <c r="K34" s="7"/>
      <c r="L34" s="4"/>
      <c r="M34" s="18"/>
    </row>
    <row r="35" spans="1:19" ht="20.100000000000001" customHeight="1" x14ac:dyDescent="0.25">
      <c r="A35" s="94">
        <v>7</v>
      </c>
      <c r="B35" s="95" t="str">
        <f>INDEX(Employees[#All],MATCH(LARGE(Employees[Net_Sales],Top10_Sales[[#This Row],[Rank_Sales]]),Employees[[#All],[Net_Sales]],0),MATCH("Employee_Name",Employees[#Headers],0))</f>
        <v>พัชราภา วงศ์วัฒนะ</v>
      </c>
      <c r="C35" s="6" t="str">
        <f>INDEX(Employees[#All],MATCH(Top10_Sales[[#This Row],[Employee]],Employees[[#All],[Employee_Name]],0),MATCH(Top10_Sales[[#Headers],[Department]],Employees[#Headers],0))</f>
        <v>Sales</v>
      </c>
      <c r="D35" s="29">
        <f>INDEX(Employees[#All],MATCH(Top10_Sales[[#This Row],[Employee]],Employees[[#All],[Employee_Name]],0),MATCH("Net_Sales",Employees[#Headers],0))</f>
        <v>649800</v>
      </c>
      <c r="F35" s="94">
        <v>7</v>
      </c>
      <c r="G35" s="95" t="str">
        <f>INDEX(Employees[#All],MATCH(LARGE(Employees[Profit],Top10_Profit[[#This Row],[Rank_Profit]]),Employees[[#All],[Profit]],0),MATCH("Employee_Name",Employees[#Headers],0))</f>
        <v>พัชราภา วงศ์วัฒนะ</v>
      </c>
      <c r="H35" s="4" t="str">
        <f>INDEX(Employees[#All],MATCH(Top10_Profit[[#This Row],[Employee]],Employees[[#All],[Employee_Name]],0),MATCH(Top10_Sales[[#Headers],[Department]],Employees[#Headers],0))</f>
        <v>Sales</v>
      </c>
      <c r="I35" s="31">
        <f>INDEX(Employees[#All],MATCH(Top10_Profit[[#This Row],[Employee]],Employees[[#All],[Employee_Name]],0),MATCH(Top10_Profit[[#Headers],[Profit]],Employees[#Headers],0))</f>
        <v>109800</v>
      </c>
      <c r="J35" s="33"/>
      <c r="K35" s="7"/>
      <c r="L35" s="4"/>
      <c r="M35" s="18"/>
    </row>
    <row r="36" spans="1:19" ht="20.100000000000001" customHeight="1" x14ac:dyDescent="0.25">
      <c r="A36" s="94">
        <v>8</v>
      </c>
      <c r="B36" s="95" t="str">
        <f>INDEX(Employees[#All],MATCH(LARGE(Employees[Net_Sales],Top10_Sales[[#This Row],[Rank_Sales]]),Employees[[#All],[Net_Sales]],0),MATCH("Employee_Name",Employees[#Headers],0))</f>
        <v>ชยพล มณีรัตน์</v>
      </c>
      <c r="C36" s="6" t="str">
        <f>INDEX(Employees[#All],MATCH(Top10_Sales[[#This Row],[Employee]],Employees[[#All],[Employee_Name]],0),MATCH(Top10_Sales[[#Headers],[Department]],Employees[#Headers],0))</f>
        <v>Customer Service</v>
      </c>
      <c r="D36" s="29">
        <f>INDEX(Employees[#All],MATCH(Top10_Sales[[#This Row],[Employee]],Employees[[#All],[Employee_Name]],0),MATCH("Net_Sales",Employees[#Headers],0))</f>
        <v>612000</v>
      </c>
      <c r="F36" s="94">
        <v>8</v>
      </c>
      <c r="G36" s="95" t="str">
        <f>INDEX(Employees[#All],MATCH(LARGE(Employees[Profit],Top10_Profit[[#This Row],[Rank_Profit]]),Employees[[#All],[Profit]],0),MATCH("Employee_Name",Employees[#Headers],0))</f>
        <v>อริสรา ไพศาล</v>
      </c>
      <c r="H36" s="4" t="str">
        <f>INDEX(Employees[#All],MATCH(Top10_Profit[[#This Row],[Employee]],Employees[[#All],[Employee_Name]],0),MATCH(Top10_Sales[[#Headers],[Department]],Employees[#Headers],0))</f>
        <v>Sales</v>
      </c>
      <c r="I36" s="31">
        <f>INDEX(Employees[#All],MATCH(Top10_Profit[[#This Row],[Employee]],Employees[[#All],[Employee_Name]],0),MATCH(Top10_Profit[[#Headers],[Profit]],Employees[#Headers],0))</f>
        <v>104000</v>
      </c>
      <c r="J36" s="33"/>
      <c r="K36" s="7"/>
      <c r="L36" s="4"/>
      <c r="M36" s="18"/>
      <c r="P36" s="76"/>
    </row>
    <row r="37" spans="1:19" ht="20.100000000000001" customHeight="1" x14ac:dyDescent="0.25">
      <c r="A37" s="94">
        <v>9</v>
      </c>
      <c r="B37" s="95" t="str">
        <f>INDEX(Employees[#All],MATCH(LARGE(Employees[Net_Sales],Top10_Sales[[#This Row],[Rank_Sales]]),Employees[[#All],[Net_Sales]],0),MATCH("Employee_Name",Employees[#Headers],0))</f>
        <v>สิรภพ เจริญพร</v>
      </c>
      <c r="C37" s="6" t="str">
        <f>INDEX(Employees[#All],MATCH(Top10_Sales[[#This Row],[Employee]],Employees[[#All],[Employee_Name]],0),MATCH(Top10_Sales[[#Headers],[Department]],Employees[#Headers],0))</f>
        <v>Sales</v>
      </c>
      <c r="D37" s="29">
        <f>INDEX(Employees[#All],MATCH(Top10_Sales[[#This Row],[Employee]],Employees[[#All],[Employee_Name]],0),MATCH("Net_Sales",Employees[#Headers],0))</f>
        <v>571568</v>
      </c>
      <c r="F37" s="94">
        <v>9</v>
      </c>
      <c r="G37" s="95" t="str">
        <f>INDEX(Employees[#All],MATCH(LARGE(Employees[Profit],Top10_Profit[[#This Row],[Rank_Profit]]),Employees[[#All],[Profit]],0),MATCH("Employee_Name",Employees[#Headers],0))</f>
        <v>สิรภพ เจริญพร</v>
      </c>
      <c r="H37" s="4" t="str">
        <f>INDEX(Employees[#All],MATCH(Top10_Profit[[#This Row],[Employee]],Employees[[#All],[Employee_Name]],0),MATCH(Top10_Sales[[#Headers],[Department]],Employees[#Headers],0))</f>
        <v>Sales</v>
      </c>
      <c r="I37" s="31">
        <f>INDEX(Employees[#All],MATCH(Top10_Profit[[#This Row],[Employee]],Employees[[#All],[Employee_Name]],0),MATCH(Top10_Profit[[#Headers],[Profit]],Employees[#Headers],0))</f>
        <v>99768</v>
      </c>
      <c r="J37" s="33"/>
      <c r="K37" s="7"/>
      <c r="L37" s="4"/>
      <c r="M37" s="18"/>
    </row>
    <row r="38" spans="1:19" ht="20.100000000000001" customHeight="1" x14ac:dyDescent="0.25">
      <c r="A38" s="96">
        <v>10</v>
      </c>
      <c r="B38" s="97" t="str">
        <f>INDEX(Employees[#All],MATCH(LARGE(Employees[Net_Sales],Top10_Sales[[#This Row],[Rank_Sales]]),Employees[[#All],[Net_Sales]],0),MATCH("Employee_Name",Employees[#Headers],0))</f>
        <v>ชุติมา รุ่งเรือง</v>
      </c>
      <c r="C38" s="6" t="str">
        <f>INDEX(Employees[#All],MATCH(Top10_Sales[[#This Row],[Employee]],Employees[[#All],[Employee_Name]],0),MATCH(Top10_Sales[[#Headers],[Department]],Employees[#Headers],0))</f>
        <v>Operations</v>
      </c>
      <c r="D38" s="30">
        <f>INDEX(Employees[#All],MATCH(Top10_Sales[[#This Row],[Employee]],Employees[[#All],[Employee_Name]],0),MATCH("Net_Sales",Employees[#Headers],0))</f>
        <v>546380</v>
      </c>
      <c r="F38" s="96">
        <v>10</v>
      </c>
      <c r="G38" s="97" t="str">
        <f>INDEX(Employees[#All],MATCH(LARGE(Employees[Profit],Top10_Profit[[#This Row],[Rank_Profit]]),Employees[[#All],[Profit]],0),MATCH("Employee_Name",Employees[#Headers],0))</f>
        <v>ชุติมา รุ่งเรือง</v>
      </c>
      <c r="H38" s="4" t="str">
        <f>INDEX(Employees[#All],MATCH(Top10_Profit[[#This Row],[Employee]],Employees[[#All],[Employee_Name]],0),MATCH(Top10_Sales[[#Headers],[Department]],Employees[#Headers],0))</f>
        <v>Operations</v>
      </c>
      <c r="I38" s="31">
        <f>INDEX(Employees[#All],MATCH(Top10_Profit[[#This Row],[Employee]],Employees[[#All],[Employee_Name]],0),MATCH(Top10_Profit[[#Headers],[Profit]],Employees[#Headers],0))</f>
        <v>87380</v>
      </c>
      <c r="J38" s="33"/>
      <c r="K38" s="7"/>
      <c r="L38" s="4"/>
      <c r="M38" s="18"/>
    </row>
    <row r="39" spans="1:19" ht="20.100000000000001" customHeight="1" x14ac:dyDescent="0.25">
      <c r="A39" s="17"/>
      <c r="B39" s="6"/>
      <c r="C39" s="4"/>
      <c r="D39" s="4"/>
      <c r="E39" s="4"/>
      <c r="F39" s="7"/>
      <c r="G39" s="40"/>
      <c r="H39" s="7"/>
      <c r="I39" s="33"/>
      <c r="J39" s="7"/>
      <c r="K39" s="4"/>
      <c r="L39" s="18"/>
    </row>
    <row r="40" spans="1:19" ht="20.100000000000001" customHeight="1" x14ac:dyDescent="0.25">
      <c r="A40" s="101" t="s">
        <v>769</v>
      </c>
      <c r="B40" s="6"/>
      <c r="C40" s="4"/>
      <c r="D40" s="4"/>
      <c r="E40" s="4"/>
      <c r="F40" s="101" t="s">
        <v>769</v>
      </c>
      <c r="G40" s="40"/>
      <c r="H40" s="7"/>
      <c r="I40" s="33"/>
      <c r="J40" s="7"/>
      <c r="K40" s="4"/>
      <c r="L40" s="18"/>
    </row>
    <row r="41" spans="1:19" ht="20.100000000000001" customHeight="1" x14ac:dyDescent="0.25">
      <c r="A41" s="17"/>
      <c r="B41" s="6"/>
      <c r="C41" s="4"/>
      <c r="D41" s="4"/>
      <c r="E41" s="4"/>
      <c r="F41" s="7"/>
      <c r="G41" s="40"/>
      <c r="H41" s="7"/>
      <c r="I41" s="33"/>
      <c r="J41" s="7"/>
      <c r="K41" s="4"/>
      <c r="L41" s="18"/>
    </row>
    <row r="42" spans="1:19" ht="20.100000000000001" customHeight="1" x14ac:dyDescent="0.25">
      <c r="A42" s="17"/>
      <c r="B42" s="6"/>
      <c r="C42" s="4"/>
      <c r="D42" s="4"/>
      <c r="E42" s="4"/>
      <c r="F42" s="7"/>
      <c r="G42" s="40"/>
      <c r="H42" s="7"/>
      <c r="I42" s="33"/>
      <c r="J42" s="7"/>
      <c r="K42" s="4"/>
      <c r="L42" s="18"/>
    </row>
    <row r="43" spans="1:19" ht="20.100000000000001" customHeight="1" x14ac:dyDescent="0.25">
      <c r="A43" s="17"/>
      <c r="B43" s="6"/>
      <c r="C43" s="4"/>
      <c r="D43" s="4"/>
      <c r="E43" s="4"/>
      <c r="F43" s="7"/>
      <c r="G43" s="40"/>
      <c r="H43" s="7"/>
      <c r="I43" s="33"/>
      <c r="J43" s="7"/>
      <c r="K43" s="4"/>
      <c r="L43" s="18"/>
    </row>
    <row r="44" spans="1:19" ht="20.100000000000001" customHeight="1" x14ac:dyDescent="0.25">
      <c r="A44" s="17"/>
      <c r="B44" s="6"/>
      <c r="C44" s="4"/>
      <c r="D44" s="4"/>
      <c r="E44" s="4"/>
      <c r="F44" s="7"/>
      <c r="G44" s="40"/>
      <c r="H44" s="7"/>
      <c r="I44" s="33"/>
      <c r="J44" s="7"/>
      <c r="K44" s="4"/>
      <c r="L44" s="18"/>
    </row>
    <row r="45" spans="1:19" ht="20.100000000000001" customHeight="1" x14ac:dyDescent="0.25">
      <c r="A45" s="17"/>
      <c r="B45" s="6"/>
      <c r="C45" s="4"/>
      <c r="D45" s="4"/>
      <c r="E45" s="4"/>
      <c r="F45" s="7"/>
      <c r="G45" s="40"/>
      <c r="H45" s="7"/>
      <c r="I45" s="33"/>
      <c r="J45" s="7"/>
      <c r="K45" s="4"/>
      <c r="L45" s="18"/>
    </row>
    <row r="46" spans="1:19" ht="20.100000000000001" customHeight="1" x14ac:dyDescent="0.25">
      <c r="A46" s="72" t="s">
        <v>781</v>
      </c>
      <c r="B46" s="6"/>
      <c r="C46" s="4"/>
      <c r="D46" s="4"/>
      <c r="E46" s="4"/>
      <c r="F46" s="7"/>
      <c r="G46" s="40"/>
      <c r="H46" s="7"/>
      <c r="I46" s="33"/>
      <c r="J46" s="7"/>
      <c r="K46" s="4"/>
      <c r="L46" s="18"/>
    </row>
    <row r="47" spans="1:19" ht="20.100000000000001" customHeight="1" x14ac:dyDescent="0.25">
      <c r="A47" s="17"/>
      <c r="B47" s="6"/>
      <c r="C47" s="4"/>
      <c r="D47" s="4"/>
      <c r="E47" s="4"/>
      <c r="F47" s="7"/>
      <c r="G47" s="40"/>
      <c r="H47" s="7"/>
      <c r="I47" s="33"/>
      <c r="J47" s="7"/>
      <c r="K47" s="4"/>
      <c r="L47" s="18"/>
    </row>
    <row r="48" spans="1:19" ht="20.100000000000001" customHeight="1" x14ac:dyDescent="0.25">
      <c r="A48" s="117" t="s">
        <v>479</v>
      </c>
      <c r="B48" s="118" t="s">
        <v>608</v>
      </c>
      <c r="C48" s="118" t="s">
        <v>663</v>
      </c>
      <c r="D48" s="4"/>
      <c r="E48" s="4"/>
      <c r="F48" s="7"/>
      <c r="G48" s="40"/>
      <c r="H48" s="7"/>
      <c r="I48" s="33"/>
      <c r="J48" s="7"/>
      <c r="K48" s="4"/>
      <c r="L48" s="18"/>
      <c r="M48" s="119"/>
      <c r="N48" s="120"/>
      <c r="O48" s="121"/>
    </row>
    <row r="49" spans="1:15" ht="20.100000000000001" customHeight="1" x14ac:dyDescent="0.25">
      <c r="A49" s="4" t="s">
        <v>484</v>
      </c>
      <c r="B49" s="128">
        <f>INDEX(Performance[#All],MATCH(Table10[[#This Row],[Employee_Name]],Performance[[#All],[Employee_Name]],0),MATCH(Table10[[#Headers],[Overall_Score]],Performance[#Headers],0))</f>
        <v>97.7</v>
      </c>
      <c r="C49" s="129">
        <f>INDEX(Performance[#All],MATCH(Table10[[#This Row],[Employee_Name]],Performance[[#All],[Employee_Name]],0),MATCH(Table10[[#Headers],[Target_Attainment]],Performance[#Headers],0))</f>
        <v>1.0818749999999999</v>
      </c>
      <c r="D49" s="4"/>
      <c r="E49" s="4"/>
      <c r="F49" s="7"/>
      <c r="G49" s="40"/>
      <c r="H49" s="7"/>
      <c r="I49" s="33"/>
      <c r="J49" s="7"/>
      <c r="K49" s="4"/>
      <c r="L49" s="18"/>
      <c r="M49" s="122"/>
      <c r="N49" s="123"/>
      <c r="O49" s="124"/>
    </row>
    <row r="50" spans="1:15" ht="20.100000000000001" customHeight="1" x14ac:dyDescent="0.25">
      <c r="A50" s="4" t="s">
        <v>490</v>
      </c>
      <c r="B50" s="100">
        <f>INDEX(Performance[#All],MATCH(Table10[[#This Row],[Employee_Name]],Performance[[#All],[Employee_Name]],0),MATCH(Table10[[#Headers],[Overall_Score]],Performance[#Headers],0))</f>
        <v>94.8</v>
      </c>
      <c r="C50" s="130">
        <f>INDEX(Performance[#All],MATCH(Table10[[#This Row],[Employee_Name]],Performance[[#All],[Employee_Name]],0),MATCH(Table10[[#Headers],[Target_Attainment]],Performance[#Headers],0))</f>
        <v>1.0605769230769231</v>
      </c>
      <c r="D50" s="4"/>
      <c r="E50" s="4"/>
      <c r="F50" s="7"/>
      <c r="G50" s="40"/>
      <c r="H50" s="7"/>
      <c r="I50" s="33"/>
      <c r="J50" s="7"/>
      <c r="K50" s="4"/>
      <c r="L50" s="18"/>
      <c r="M50" s="122"/>
      <c r="N50" s="123"/>
      <c r="O50" s="124"/>
    </row>
    <row r="51" spans="1:15" ht="20.100000000000001" customHeight="1" x14ac:dyDescent="0.25">
      <c r="A51" s="4" t="s">
        <v>492</v>
      </c>
      <c r="B51" s="100">
        <f>INDEX(Performance[#All],MATCH(Table10[[#This Row],[Employee_Name]],Performance[[#All],[Employee_Name]],0),MATCH(Table10[[#Headers],[Overall_Score]],Performance[#Headers],0))</f>
        <v>99.9</v>
      </c>
      <c r="C51" s="130">
        <f>INDEX(Performance[#All],MATCH(Table10[[#This Row],[Employee_Name]],Performance[[#All],[Employee_Name]],0),MATCH(Table10[[#Headers],[Target_Attainment]],Performance[#Headers],0))</f>
        <v>1.2070833333333333</v>
      </c>
      <c r="D51" s="4"/>
      <c r="E51" s="4"/>
      <c r="F51" s="7"/>
      <c r="G51" s="40"/>
      <c r="H51" s="7"/>
      <c r="I51" s="33"/>
      <c r="J51" s="7"/>
      <c r="K51" s="4"/>
      <c r="L51" s="18"/>
      <c r="M51" s="122"/>
      <c r="N51" s="123"/>
      <c r="O51" s="124"/>
    </row>
    <row r="52" spans="1:15" ht="20.100000000000001" customHeight="1" x14ac:dyDescent="0.25">
      <c r="A52" s="4" t="s">
        <v>494</v>
      </c>
      <c r="B52" s="100">
        <f>INDEX(Performance[#All],MATCH(Table10[[#This Row],[Employee_Name]],Performance[[#All],[Employee_Name]],0),MATCH(Table10[[#Headers],[Overall_Score]],Performance[#Headers],0))</f>
        <v>100</v>
      </c>
      <c r="C52" s="130">
        <f>INDEX(Performance[#All],MATCH(Table10[[#This Row],[Employee_Name]],Performance[[#All],[Employee_Name]],0),MATCH(Table10[[#Headers],[Target_Attainment]],Performance[#Headers],0))</f>
        <v>1.2866666666666666</v>
      </c>
      <c r="D52" s="4"/>
      <c r="E52" s="4"/>
      <c r="F52" s="7"/>
      <c r="G52" s="40"/>
      <c r="H52" s="7"/>
      <c r="I52" s="33"/>
      <c r="J52" s="7"/>
      <c r="K52" s="4"/>
      <c r="L52" s="18"/>
      <c r="M52" s="122"/>
      <c r="N52" s="123"/>
      <c r="O52" s="124"/>
    </row>
    <row r="53" spans="1:15" ht="20.100000000000001" customHeight="1" x14ac:dyDescent="0.25">
      <c r="A53" s="4" t="s">
        <v>496</v>
      </c>
      <c r="B53" s="100">
        <f>INDEX(Performance[#All],MATCH(Table10[[#This Row],[Employee_Name]],Performance[[#All],[Employee_Name]],0),MATCH(Table10[[#Headers],[Overall_Score]],Performance[#Headers],0))</f>
        <v>94.7</v>
      </c>
      <c r="C53" s="130">
        <f>INDEX(Performance[#All],MATCH(Table10[[#This Row],[Employee_Name]],Performance[[#All],[Employee_Name]],0),MATCH(Table10[[#Headers],[Target_Attainment]],Performance[#Headers],0))</f>
        <v>1.1071681415929204</v>
      </c>
      <c r="D53" s="4"/>
      <c r="E53" s="4"/>
      <c r="F53" s="7"/>
      <c r="G53" s="40"/>
      <c r="H53" s="7"/>
      <c r="I53" s="33"/>
      <c r="J53" s="7"/>
      <c r="K53" s="4"/>
      <c r="L53" s="18"/>
      <c r="M53" s="122"/>
      <c r="N53" s="123"/>
      <c r="O53" s="124"/>
    </row>
    <row r="54" spans="1:15" ht="20.100000000000001" customHeight="1" x14ac:dyDescent="0.25">
      <c r="A54" s="4" t="s">
        <v>499</v>
      </c>
      <c r="B54" s="100">
        <f>INDEX(Performance[#All],MATCH(Table10[[#This Row],[Employee_Name]],Performance[[#All],[Employee_Name]],0),MATCH(Table10[[#Headers],[Overall_Score]],Performance[#Headers],0))</f>
        <v>93.1</v>
      </c>
      <c r="C54" s="130">
        <f>INDEX(Performance[#All],MATCH(Table10[[#This Row],[Employee_Name]],Performance[[#All],[Employee_Name]],0),MATCH(Table10[[#Headers],[Target_Attainment]],Performance[#Headers],0))</f>
        <v>1.0114285714285713</v>
      </c>
      <c r="D54" s="4"/>
      <c r="E54" s="4"/>
      <c r="F54" s="7"/>
      <c r="G54" s="40"/>
      <c r="H54" s="7"/>
      <c r="I54" s="33"/>
      <c r="J54" s="7"/>
      <c r="K54" s="4"/>
      <c r="L54" s="18"/>
      <c r="M54" s="122"/>
      <c r="N54" s="123"/>
      <c r="O54" s="124"/>
    </row>
    <row r="55" spans="1:15" ht="20.100000000000001" customHeight="1" x14ac:dyDescent="0.25">
      <c r="A55" s="4" t="s">
        <v>500</v>
      </c>
      <c r="B55" s="100">
        <f>INDEX(Performance[#All],MATCH(Table10[[#This Row],[Employee_Name]],Performance[[#All],[Employee_Name]],0),MATCH(Table10[[#Headers],[Overall_Score]],Performance[#Headers],0))</f>
        <v>100</v>
      </c>
      <c r="C55" s="130">
        <f>INDEX(Performance[#All],MATCH(Table10[[#This Row],[Employee_Name]],Performance[[#All],[Employee_Name]],0),MATCH(Table10[[#Headers],[Target_Attainment]],Performance[#Headers],0))</f>
        <v>1.2498198198198198</v>
      </c>
      <c r="D55" s="4"/>
      <c r="E55" s="4"/>
      <c r="F55" s="7"/>
      <c r="G55" s="40"/>
      <c r="H55" s="7"/>
      <c r="I55" s="33"/>
      <c r="J55" s="7"/>
      <c r="K55" s="4"/>
      <c r="L55" s="18"/>
      <c r="M55" s="122"/>
      <c r="N55" s="123"/>
      <c r="O55" s="124"/>
    </row>
    <row r="56" spans="1:15" ht="20.100000000000001" customHeight="1" x14ac:dyDescent="0.25">
      <c r="A56" s="4" t="s">
        <v>502</v>
      </c>
      <c r="B56" s="100">
        <f>INDEX(Performance[#All],MATCH(Table10[[#This Row],[Employee_Name]],Performance[[#All],[Employee_Name]],0),MATCH(Table10[[#Headers],[Overall_Score]],Performance[#Headers],0))</f>
        <v>100</v>
      </c>
      <c r="C56" s="130">
        <f>INDEX(Performance[#All],MATCH(Table10[[#This Row],[Employee_Name]],Performance[[#All],[Employee_Name]],0),MATCH(Table10[[#Headers],[Target_Attainment]],Performance[#Headers],0))</f>
        <v>1.2497590361445783</v>
      </c>
      <c r="D56" s="4"/>
      <c r="E56" s="4"/>
      <c r="F56" s="7"/>
      <c r="G56" s="40"/>
      <c r="H56" s="7"/>
      <c r="I56" s="33"/>
      <c r="J56" s="7"/>
      <c r="K56" s="4"/>
      <c r="L56" s="18"/>
      <c r="M56" s="122"/>
      <c r="N56" s="123"/>
      <c r="O56" s="124"/>
    </row>
    <row r="57" spans="1:15" ht="20.100000000000001" customHeight="1" x14ac:dyDescent="0.25">
      <c r="A57" s="4" t="s">
        <v>503</v>
      </c>
      <c r="B57" s="100">
        <f>INDEX(Performance[#All],MATCH(Table10[[#This Row],[Employee_Name]],Performance[[#All],[Employee_Name]],0),MATCH(Table10[[#Headers],[Overall_Score]],Performance[#Headers],0))</f>
        <v>90.6</v>
      </c>
      <c r="C57" s="130">
        <f>INDEX(Performance[#All],MATCH(Table10[[#This Row],[Employee_Name]],Performance[[#All],[Employee_Name]],0),MATCH(Table10[[#Headers],[Target_Attainment]],Performance[#Headers],0))</f>
        <v>1.1056164383561644</v>
      </c>
      <c r="D57" s="4"/>
      <c r="E57" s="4"/>
      <c r="F57" s="7"/>
      <c r="G57" s="40"/>
      <c r="H57" s="7"/>
      <c r="I57" s="33"/>
      <c r="J57" s="7"/>
      <c r="K57" s="4"/>
      <c r="L57" s="18"/>
      <c r="M57" s="122"/>
      <c r="N57" s="123"/>
      <c r="O57" s="124"/>
    </row>
    <row r="58" spans="1:15" ht="20.100000000000001" customHeight="1" x14ac:dyDescent="0.25">
      <c r="A58" s="4" t="s">
        <v>506</v>
      </c>
      <c r="B58" s="100">
        <f>INDEX(Performance[#All],MATCH(Table10[[#This Row],[Employee_Name]],Performance[[#All],[Employee_Name]],0),MATCH(Table10[[#Headers],[Overall_Score]],Performance[#Headers],0))</f>
        <v>88.5</v>
      </c>
      <c r="C58" s="130">
        <f>INDEX(Performance[#All],MATCH(Table10[[#This Row],[Employee_Name]],Performance[[#All],[Employee_Name]],0),MATCH(Table10[[#Headers],[Target_Attainment]],Performance[#Headers],0))</f>
        <v>1.0954545454545455</v>
      </c>
      <c r="D58" s="4"/>
      <c r="E58" s="4"/>
      <c r="F58" s="7"/>
      <c r="G58" s="40"/>
      <c r="H58" s="7"/>
      <c r="I58" s="33"/>
      <c r="J58" s="7"/>
      <c r="K58" s="4"/>
      <c r="L58" s="18"/>
      <c r="M58" s="122"/>
      <c r="N58" s="123"/>
      <c r="O58" s="124"/>
    </row>
    <row r="59" spans="1:15" ht="20.100000000000001" customHeight="1" x14ac:dyDescent="0.25">
      <c r="A59" s="4" t="s">
        <v>508</v>
      </c>
      <c r="B59" s="100">
        <f>INDEX(Performance[#All],MATCH(Table10[[#This Row],[Employee_Name]],Performance[[#All],[Employee_Name]],0),MATCH(Table10[[#Headers],[Overall_Score]],Performance[#Headers],0))</f>
        <v>93.1</v>
      </c>
      <c r="C59" s="130">
        <f>INDEX(Performance[#All],MATCH(Table10[[#This Row],[Employee_Name]],Performance[[#All],[Employee_Name]],0),MATCH(Table10[[#Headers],[Target_Attainment]],Performance[#Headers],0))</f>
        <v>1.1617045454545454</v>
      </c>
      <c r="D59" s="4"/>
      <c r="E59" s="4"/>
      <c r="F59" s="7"/>
      <c r="G59" s="40"/>
      <c r="H59" s="7"/>
      <c r="I59" s="33"/>
      <c r="J59" s="7"/>
      <c r="K59" s="4"/>
      <c r="L59" s="18"/>
      <c r="M59" s="122"/>
      <c r="N59" s="123"/>
      <c r="O59" s="124"/>
    </row>
    <row r="60" spans="1:15" ht="20.100000000000001" customHeight="1" x14ac:dyDescent="0.25">
      <c r="A60" s="4" t="s">
        <v>509</v>
      </c>
      <c r="B60" s="100">
        <f>INDEX(Performance[#All],MATCH(Table10[[#This Row],[Employee_Name]],Performance[[#All],[Employee_Name]],0),MATCH(Table10[[#Headers],[Overall_Score]],Performance[#Headers],0))</f>
        <v>91.4</v>
      </c>
      <c r="C60" s="130">
        <f>INDEX(Performance[#All],MATCH(Table10[[#This Row],[Employee_Name]],Performance[[#All],[Employee_Name]],0),MATCH(Table10[[#Headers],[Target_Attainment]],Performance[#Headers],0))</f>
        <v>1.0055434782608696</v>
      </c>
      <c r="D60" s="4"/>
      <c r="E60" s="4"/>
      <c r="F60" s="7"/>
      <c r="G60" s="40"/>
      <c r="H60" s="7"/>
      <c r="I60" s="33"/>
      <c r="J60" s="7"/>
      <c r="K60" s="4"/>
      <c r="L60" s="18"/>
      <c r="M60" s="122"/>
      <c r="N60" s="123"/>
      <c r="O60" s="124"/>
    </row>
    <row r="61" spans="1:15" ht="20.100000000000001" customHeight="1" x14ac:dyDescent="0.25">
      <c r="A61" s="4" t="s">
        <v>517</v>
      </c>
      <c r="B61" s="100">
        <f>INDEX(Performance[#All],MATCH(Table10[[#This Row],[Employee_Name]],Performance[[#All],[Employee_Name]],0),MATCH(Table10[[#Headers],[Overall_Score]],Performance[#Headers],0))</f>
        <v>94.8</v>
      </c>
      <c r="C61" s="130">
        <f>INDEX(Performance[#All],MATCH(Table10[[#This Row],[Employee_Name]],Performance[[#All],[Employee_Name]],0),MATCH(Table10[[#Headers],[Target_Attainment]],Performance[#Headers],0))</f>
        <v>1.0563865546218487</v>
      </c>
      <c r="D61" s="4"/>
      <c r="E61" s="4"/>
      <c r="F61" s="7"/>
      <c r="G61" s="40"/>
      <c r="H61" s="7"/>
      <c r="I61" s="33"/>
      <c r="J61" s="7"/>
      <c r="K61" s="4"/>
      <c r="L61" s="18"/>
      <c r="M61" s="122"/>
      <c r="N61" s="123"/>
      <c r="O61" s="124"/>
    </row>
    <row r="62" spans="1:15" ht="20.100000000000001" customHeight="1" x14ac:dyDescent="0.25">
      <c r="A62" s="4" t="s">
        <v>518</v>
      </c>
      <c r="B62" s="100">
        <f>INDEX(Performance[#All],MATCH(Table10[[#This Row],[Employee_Name]],Performance[[#All],[Employee_Name]],0),MATCH(Table10[[#Headers],[Overall_Score]],Performance[#Headers],0))</f>
        <v>99</v>
      </c>
      <c r="C62" s="130">
        <f>INDEX(Performance[#All],MATCH(Table10[[#This Row],[Employee_Name]],Performance[[#All],[Employee_Name]],0),MATCH(Table10[[#Headers],[Target_Attainment]],Performance[#Headers],0))</f>
        <v>1.107938144329897</v>
      </c>
      <c r="D62" s="4"/>
      <c r="E62" s="4"/>
      <c r="F62" s="7"/>
      <c r="G62" s="40"/>
      <c r="H62" s="7"/>
      <c r="I62" s="33"/>
      <c r="J62" s="7"/>
      <c r="K62" s="4"/>
      <c r="L62" s="18"/>
      <c r="M62" s="122"/>
      <c r="N62" s="123"/>
      <c r="O62" s="124"/>
    </row>
    <row r="63" spans="1:15" ht="20.100000000000001" customHeight="1" x14ac:dyDescent="0.25">
      <c r="A63" s="4" t="s">
        <v>519</v>
      </c>
      <c r="B63" s="100">
        <f>INDEX(Performance[#All],MATCH(Table10[[#This Row],[Employee_Name]],Performance[[#All],[Employee_Name]],0),MATCH(Table10[[#Headers],[Overall_Score]],Performance[#Headers],0))</f>
        <v>98.6</v>
      </c>
      <c r="C63" s="130">
        <f>INDEX(Performance[#All],MATCH(Table10[[#This Row],[Employee_Name]],Performance[[#All],[Employee_Name]],0),MATCH(Table10[[#Headers],[Target_Attainment]],Performance[#Headers],0))</f>
        <v>1.1579629629629629</v>
      </c>
      <c r="D63" s="4"/>
      <c r="E63" s="4"/>
      <c r="F63" s="7"/>
      <c r="G63" s="40"/>
      <c r="H63" s="7"/>
      <c r="I63" s="33"/>
      <c r="J63" s="7"/>
      <c r="K63" s="4"/>
      <c r="L63" s="18"/>
      <c r="M63" s="122"/>
      <c r="N63" s="123"/>
      <c r="O63" s="124"/>
    </row>
    <row r="64" spans="1:15" ht="20.100000000000001" customHeight="1" x14ac:dyDescent="0.25">
      <c r="A64" s="4" t="s">
        <v>521</v>
      </c>
      <c r="B64" s="128">
        <f>INDEX(Performance[#All],MATCH(Table10[[#This Row],[Employee_Name]],Performance[[#All],[Employee_Name]],0),MATCH(Table10[[#Headers],[Overall_Score]],Performance[#Headers],0))</f>
        <v>98.4</v>
      </c>
      <c r="C64" s="129">
        <f>INDEX(Performance[#All],MATCH(Table10[[#This Row],[Employee_Name]],Performance[[#All],[Employee_Name]],0),MATCH(Table10[[#Headers],[Target_Attainment]],Performance[#Headers],0))</f>
        <v>1.1076404494382022</v>
      </c>
      <c r="D64" s="4"/>
      <c r="E64" s="4"/>
      <c r="F64" s="7"/>
      <c r="G64" s="40"/>
      <c r="H64" s="7"/>
      <c r="I64" s="33"/>
      <c r="J64" s="7"/>
      <c r="K64" s="4"/>
      <c r="L64" s="18"/>
      <c r="M64" s="122"/>
      <c r="N64" s="123"/>
      <c r="O64" s="124"/>
    </row>
    <row r="65" spans="1:15" ht="20.100000000000001" customHeight="1" x14ac:dyDescent="0.25">
      <c r="A65" s="4" t="s">
        <v>522</v>
      </c>
      <c r="B65" s="100">
        <f>INDEX(Performance[#All],MATCH(Table10[[#This Row],[Employee_Name]],Performance[[#All],[Employee_Name]],0),MATCH(Table10[[#Headers],[Overall_Score]],Performance[#Headers],0))</f>
        <v>89.7</v>
      </c>
      <c r="C65" s="130">
        <f>INDEX(Performance[#All],MATCH(Table10[[#This Row],[Employee_Name]],Performance[[#All],[Employee_Name]],0),MATCH(Table10[[#Headers],[Target_Attainment]],Performance[#Headers],0))</f>
        <v>1.0554320987654322</v>
      </c>
      <c r="D65" s="4"/>
      <c r="E65" s="4"/>
      <c r="F65" s="7"/>
      <c r="G65" s="40"/>
      <c r="H65" s="7"/>
      <c r="I65" s="33"/>
      <c r="J65" s="7"/>
      <c r="K65" s="4"/>
      <c r="L65" s="18"/>
      <c r="M65" s="125"/>
      <c r="N65" s="126"/>
      <c r="O65" s="127"/>
    </row>
    <row r="66" spans="1:15" ht="20.100000000000001" customHeight="1" x14ac:dyDescent="0.25">
      <c r="A66" s="4" t="s">
        <v>528</v>
      </c>
      <c r="B66" s="100">
        <f>INDEX(Performance[#All],MATCH(Table10[[#This Row],[Employee_Name]],Performance[[#All],[Employee_Name]],0),MATCH(Table10[[#Headers],[Overall_Score]],Performance[#Headers],0))</f>
        <v>92.8</v>
      </c>
      <c r="C66" s="130">
        <f>INDEX(Performance[#All],MATCH(Table10[[#This Row],[Employee_Name]],Performance[[#All],[Employee_Name]],0),MATCH(Table10[[#Headers],[Target_Attainment]],Performance[#Headers],0))</f>
        <v>1.1088461538461538</v>
      </c>
      <c r="D66" s="4"/>
      <c r="E66" s="4"/>
      <c r="F66" s="7"/>
      <c r="G66" s="40"/>
      <c r="H66" s="7"/>
      <c r="I66" s="33"/>
      <c r="J66" s="7"/>
      <c r="K66" s="4"/>
      <c r="L66" s="18"/>
    </row>
    <row r="67" spans="1:15" ht="20.100000000000001" customHeight="1" x14ac:dyDescent="0.25">
      <c r="A67" s="4" t="s">
        <v>531</v>
      </c>
      <c r="B67" s="100">
        <f>INDEX(Performance[#All],MATCH(Table10[[#This Row],[Employee_Name]],Performance[[#All],[Employee_Name]],0),MATCH(Table10[[#Headers],[Overall_Score]],Performance[#Headers],0))</f>
        <v>100</v>
      </c>
      <c r="C67" s="130">
        <f>INDEX(Performance[#All],MATCH(Table10[[#This Row],[Employee_Name]],Performance[[#All],[Employee_Name]],0),MATCH(Table10[[#Headers],[Target_Attainment]],Performance[#Headers],0))</f>
        <v>1.1757377049180329</v>
      </c>
      <c r="D67" s="4"/>
      <c r="E67" s="4"/>
      <c r="F67" s="7"/>
      <c r="G67" s="40"/>
      <c r="H67" s="7"/>
      <c r="I67" s="33"/>
      <c r="J67" s="7"/>
      <c r="K67" s="4"/>
      <c r="L67" s="18"/>
    </row>
    <row r="68" spans="1:15" ht="20.100000000000001" customHeight="1" x14ac:dyDescent="0.25">
      <c r="A68" s="4" t="s">
        <v>533</v>
      </c>
      <c r="B68" s="100">
        <f>INDEX(Performance[#All],MATCH(Table10[[#This Row],[Employee_Name]],Performance[[#All],[Employee_Name]],0),MATCH(Table10[[#Headers],[Overall_Score]],Performance[#Headers],0))</f>
        <v>100</v>
      </c>
      <c r="C68" s="130">
        <f>INDEX(Performance[#All],MATCH(Table10[[#This Row],[Employee_Name]],Performance[[#All],[Employee_Name]],0),MATCH(Table10[[#Headers],[Target_Attainment]],Performance[#Headers],0))</f>
        <v>1.2696825396825397</v>
      </c>
      <c r="D68" s="4"/>
      <c r="E68" s="4"/>
      <c r="F68" s="7"/>
      <c r="G68" s="40"/>
      <c r="H68" s="7"/>
      <c r="I68" s="33"/>
      <c r="J68" s="7"/>
      <c r="K68" s="4"/>
      <c r="L68" s="18"/>
    </row>
    <row r="69" spans="1:15" ht="20.100000000000001" customHeight="1" x14ac:dyDescent="0.25">
      <c r="A69" s="4" t="s">
        <v>536</v>
      </c>
      <c r="B69" s="100">
        <f>INDEX(Performance[#All],MATCH(Table10[[#This Row],[Employee_Name]],Performance[[#All],[Employee_Name]],0),MATCH(Table10[[#Headers],[Overall_Score]],Performance[#Headers],0))</f>
        <v>98</v>
      </c>
      <c r="C69" s="130">
        <f>INDEX(Performance[#All],MATCH(Table10[[#This Row],[Employee_Name]],Performance[[#All],[Employee_Name]],0),MATCH(Table10[[#Headers],[Target_Attainment]],Performance[#Headers],0))</f>
        <v>1.0255421686746988</v>
      </c>
      <c r="D69" s="4"/>
      <c r="E69" s="4"/>
      <c r="F69" s="7"/>
      <c r="G69" s="40"/>
      <c r="H69" s="7"/>
      <c r="I69" s="33"/>
      <c r="J69" s="7"/>
      <c r="K69" s="4"/>
      <c r="L69" s="18"/>
    </row>
    <row r="70" spans="1:15" ht="20.100000000000001" customHeight="1" x14ac:dyDescent="0.25">
      <c r="A70" s="4" t="s">
        <v>538</v>
      </c>
      <c r="B70" s="100">
        <f>INDEX(Performance[#All],MATCH(Table10[[#This Row],[Employee_Name]],Performance[[#All],[Employee_Name]],0),MATCH(Table10[[#Headers],[Overall_Score]],Performance[#Headers],0))</f>
        <v>96.3</v>
      </c>
      <c r="C70" s="130">
        <f>INDEX(Performance[#All],MATCH(Table10[[#This Row],[Employee_Name]],Performance[[#All],[Employee_Name]],0),MATCH(Table10[[#Headers],[Target_Attainment]],Performance[#Headers],0))</f>
        <v>1.1534328358208956</v>
      </c>
      <c r="D70" s="4"/>
      <c r="E70" s="4"/>
      <c r="F70" s="7"/>
      <c r="G70" s="40"/>
      <c r="H70" s="7"/>
      <c r="I70" s="33"/>
      <c r="J70" s="7"/>
      <c r="K70" s="4"/>
      <c r="L70" s="18"/>
    </row>
    <row r="71" spans="1:15" ht="20.100000000000001" customHeight="1" x14ac:dyDescent="0.25">
      <c r="A71" s="4" t="s">
        <v>540</v>
      </c>
      <c r="B71" s="100">
        <f>INDEX(Performance[#All],MATCH(Table10[[#This Row],[Employee_Name]],Performance[[#All],[Employee_Name]],0),MATCH(Table10[[#Headers],[Overall_Score]],Performance[#Headers],0))</f>
        <v>100</v>
      </c>
      <c r="C71" s="130">
        <f>INDEX(Performance[#All],MATCH(Table10[[#This Row],[Employee_Name]],Performance[[#All],[Employee_Name]],0),MATCH(Table10[[#Headers],[Target_Attainment]],Performance[#Headers],0))</f>
        <v>1.3070886075949366</v>
      </c>
      <c r="D71" s="4"/>
      <c r="E71" s="4"/>
      <c r="F71" s="7"/>
      <c r="G71" s="40"/>
      <c r="H71" s="7"/>
      <c r="I71" s="33"/>
      <c r="J71" s="7"/>
      <c r="K71" s="4"/>
      <c r="L71" s="18"/>
    </row>
    <row r="72" spans="1:15" ht="20.100000000000001" customHeight="1" x14ac:dyDescent="0.25">
      <c r="A72" s="4" t="s">
        <v>541</v>
      </c>
      <c r="B72" s="100">
        <f>INDEX(Performance[#All],MATCH(Table10[[#This Row],[Employee_Name]],Performance[[#All],[Employee_Name]],0),MATCH(Table10[[#Headers],[Overall_Score]],Performance[#Headers],0))</f>
        <v>92.7</v>
      </c>
      <c r="C72" s="130">
        <f>INDEX(Performance[#All],MATCH(Table10[[#This Row],[Employee_Name]],Performance[[#All],[Employee_Name]],0),MATCH(Table10[[#Headers],[Target_Attainment]],Performance[#Headers],0))</f>
        <v>1.0177941176470588</v>
      </c>
      <c r="D72" s="4"/>
      <c r="E72" s="4"/>
      <c r="F72" s="7"/>
      <c r="G72" s="40"/>
      <c r="H72" s="7"/>
      <c r="I72" s="33"/>
      <c r="J72" s="7"/>
      <c r="K72" s="4"/>
      <c r="L72" s="18"/>
    </row>
    <row r="73" spans="1:15" ht="20.100000000000001" customHeight="1" x14ac:dyDescent="0.25">
      <c r="A73" s="4" t="s">
        <v>542</v>
      </c>
      <c r="B73" s="100">
        <f>INDEX(Performance[#All],MATCH(Table10[[#This Row],[Employee_Name]],Performance[[#All],[Employee_Name]],0),MATCH(Table10[[#Headers],[Overall_Score]],Performance[#Headers],0))</f>
        <v>95.7</v>
      </c>
      <c r="C73" s="130">
        <f>INDEX(Performance[#All],MATCH(Table10[[#This Row],[Employee_Name]],Performance[[#All],[Employee_Name]],0),MATCH(Table10[[#Headers],[Target_Attainment]],Performance[#Headers],0))</f>
        <v>1.1644776119402984</v>
      </c>
      <c r="D73" s="4"/>
      <c r="E73" s="4"/>
      <c r="F73" s="7"/>
      <c r="G73" s="40"/>
      <c r="H73" s="7"/>
      <c r="I73" s="33"/>
      <c r="J73" s="7"/>
      <c r="K73" s="4"/>
      <c r="L73" s="18"/>
    </row>
    <row r="74" spans="1:15" ht="20.100000000000001" customHeight="1" x14ac:dyDescent="0.25">
      <c r="A74" s="4" t="s">
        <v>543</v>
      </c>
      <c r="B74" s="100">
        <f>INDEX(Performance[#All],MATCH(Table10[[#This Row],[Employee_Name]],Performance[[#All],[Employee_Name]],0),MATCH(Table10[[#Headers],[Overall_Score]],Performance[#Headers],0))</f>
        <v>97.6</v>
      </c>
      <c r="C74" s="130">
        <f>INDEX(Performance[#All],MATCH(Table10[[#This Row],[Employee_Name]],Performance[[#All],[Employee_Name]],0),MATCH(Table10[[#Headers],[Target_Attainment]],Performance[#Headers],0))</f>
        <v>1.0757575757575757</v>
      </c>
      <c r="D74" s="4"/>
      <c r="E74" s="4"/>
      <c r="F74" s="7"/>
      <c r="G74" s="40"/>
      <c r="H74" s="7"/>
      <c r="I74" s="33"/>
      <c r="J74" s="7"/>
      <c r="K74" s="4"/>
      <c r="L74" s="18"/>
    </row>
    <row r="75" spans="1:15" ht="20.100000000000001" customHeight="1" x14ac:dyDescent="0.25">
      <c r="A75" s="4" t="s">
        <v>545</v>
      </c>
      <c r="B75" s="100">
        <f>INDEX(Performance[#All],MATCH(Table10[[#This Row],[Employee_Name]],Performance[[#All],[Employee_Name]],0),MATCH(Table10[[#Headers],[Overall_Score]],Performance[#Headers],0))</f>
        <v>89.1</v>
      </c>
      <c r="C75" s="130">
        <f>INDEX(Performance[#All],MATCH(Table10[[#This Row],[Employee_Name]],Performance[[#All],[Employee_Name]],0),MATCH(Table10[[#Headers],[Target_Attainment]],Performance[#Headers],0))</f>
        <v>1.0045054945054945</v>
      </c>
      <c r="D75" s="4"/>
      <c r="E75" s="4"/>
      <c r="F75" s="7"/>
      <c r="G75" s="40"/>
      <c r="H75" s="7"/>
      <c r="I75" s="33"/>
      <c r="J75" s="7"/>
      <c r="K75" s="4"/>
      <c r="L75" s="18"/>
    </row>
    <row r="76" spans="1:15" ht="20.100000000000001" customHeight="1" x14ac:dyDescent="0.25">
      <c r="A76" s="4" t="s">
        <v>549</v>
      </c>
      <c r="B76" s="100">
        <f>INDEX(Performance[#All],MATCH(Table10[[#This Row],[Employee_Name]],Performance[[#All],[Employee_Name]],0),MATCH(Table10[[#Headers],[Overall_Score]],Performance[#Headers],0))</f>
        <v>100</v>
      </c>
      <c r="C76" s="130">
        <f>INDEX(Performance[#All],MATCH(Table10[[#This Row],[Employee_Name]],Performance[[#All],[Employee_Name]],0),MATCH(Table10[[#Headers],[Target_Attainment]],Performance[#Headers],0))</f>
        <v>1.3082191780821917</v>
      </c>
      <c r="D76" s="4"/>
      <c r="E76" s="4"/>
      <c r="F76" s="7"/>
      <c r="G76" s="40"/>
      <c r="H76" s="7"/>
      <c r="I76" s="33"/>
      <c r="J76" s="7"/>
      <c r="K76" s="4"/>
      <c r="L76" s="18"/>
    </row>
    <row r="77" spans="1:15" ht="20.100000000000001" customHeight="1" x14ac:dyDescent="0.25">
      <c r="A77" s="4" t="s">
        <v>556</v>
      </c>
      <c r="B77" s="100">
        <f>INDEX(Performance[#All],MATCH(Table10[[#This Row],[Employee_Name]],Performance[[#All],[Employee_Name]],0),MATCH(Table10[[#Headers],[Overall_Score]],Performance[#Headers],0))</f>
        <v>99.2</v>
      </c>
      <c r="C77" s="130">
        <f>INDEX(Performance[#All],MATCH(Table10[[#This Row],[Employee_Name]],Performance[[#All],[Employee_Name]],0),MATCH(Table10[[#Headers],[Target_Attainment]],Performance[#Headers],0))</f>
        <v>1.1619718309859155</v>
      </c>
      <c r="D77" s="4"/>
      <c r="E77" s="4"/>
      <c r="F77" s="7"/>
      <c r="G77" s="40"/>
      <c r="H77" s="7"/>
      <c r="I77" s="33"/>
      <c r="J77" s="7"/>
      <c r="K77" s="4"/>
      <c r="L77" s="18"/>
    </row>
    <row r="78" spans="1:15" ht="20.100000000000001" customHeight="1" x14ac:dyDescent="0.25">
      <c r="A78" s="4" t="s">
        <v>557</v>
      </c>
      <c r="B78" s="100">
        <f>INDEX(Performance[#All],MATCH(Table10[[#This Row],[Employee_Name]],Performance[[#All],[Employee_Name]],0),MATCH(Table10[[#Headers],[Overall_Score]],Performance[#Headers],0))</f>
        <v>93.8</v>
      </c>
      <c r="C78" s="130">
        <f>INDEX(Performance[#All],MATCH(Table10[[#This Row],[Employee_Name]],Performance[[#All],[Employee_Name]],0),MATCH(Table10[[#Headers],[Target_Attainment]],Performance[#Headers],0))</f>
        <v>1.0403296703296703</v>
      </c>
      <c r="D78" s="4"/>
      <c r="E78" s="4"/>
      <c r="F78" s="7"/>
      <c r="G78" s="40"/>
      <c r="H78" s="7"/>
      <c r="J78" s="7"/>
      <c r="K78" s="4"/>
      <c r="L78" s="18"/>
    </row>
    <row r="79" spans="1:15" ht="20.100000000000001" customHeight="1" x14ac:dyDescent="0.25">
      <c r="A79" s="4" t="s">
        <v>561</v>
      </c>
      <c r="B79" s="100">
        <f>INDEX(Performance[#All],MATCH(Table10[[#This Row],[Employee_Name]],Performance[[#All],[Employee_Name]],0),MATCH(Table10[[#Headers],[Overall_Score]],Performance[#Headers],0))</f>
        <v>100</v>
      </c>
      <c r="C79" s="130">
        <f>INDEX(Performance[#All],MATCH(Table10[[#This Row],[Employee_Name]],Performance[[#All],[Employee_Name]],0),MATCH(Table10[[#Headers],[Target_Attainment]],Performance[#Headers],0))</f>
        <v>1.2838372093023256</v>
      </c>
      <c r="D79" s="4"/>
      <c r="E79" s="4"/>
      <c r="F79" s="7"/>
      <c r="G79" s="40"/>
      <c r="H79" s="7"/>
      <c r="J79" s="7"/>
      <c r="K79" s="4"/>
      <c r="L79" s="18"/>
    </row>
    <row r="80" spans="1:15" ht="20.100000000000001" customHeight="1" x14ac:dyDescent="0.25">
      <c r="A80" s="4" t="s">
        <v>563</v>
      </c>
      <c r="B80" s="100">
        <f>INDEX(Performance[#All],MATCH(Table10[[#This Row],[Employee_Name]],Performance[[#All],[Employee_Name]],0),MATCH(Table10[[#Headers],[Overall_Score]],Performance[#Headers],0))</f>
        <v>100</v>
      </c>
      <c r="C80" s="130">
        <f>INDEX(Performance[#All],MATCH(Table10[[#This Row],[Employee_Name]],Performance[[#All],[Employee_Name]],0),MATCH(Table10[[#Headers],[Target_Attainment]],Performance[#Headers],0))</f>
        <v>1.3695604395604395</v>
      </c>
      <c r="D80" s="4"/>
      <c r="E80" s="4"/>
      <c r="F80" s="7"/>
      <c r="G80" s="40"/>
      <c r="H80" s="7"/>
      <c r="J80" s="7"/>
      <c r="K80" s="4"/>
      <c r="L80" s="18"/>
    </row>
    <row r="81" spans="1:22" ht="20.100000000000001" customHeight="1" x14ac:dyDescent="0.25">
      <c r="A81" s="4" t="s">
        <v>566</v>
      </c>
      <c r="B81" s="100">
        <f>INDEX(Performance[#All],MATCH(Table10[[#This Row],[Employee_Name]],Performance[[#All],[Employee_Name]],0),MATCH(Table10[[#Headers],[Overall_Score]],Performance[#Headers],0))</f>
        <v>100</v>
      </c>
      <c r="C81" s="130">
        <f>INDEX(Performance[#All],MATCH(Table10[[#This Row],[Employee_Name]],Performance[[#All],[Employee_Name]],0),MATCH(Table10[[#Headers],[Target_Attainment]],Performance[#Headers],0))</f>
        <v>1.3067647058823531</v>
      </c>
      <c r="D81" s="4"/>
      <c r="E81" s="4"/>
      <c r="F81" s="7"/>
      <c r="G81" s="40"/>
      <c r="H81" s="7"/>
      <c r="J81" s="7"/>
      <c r="K81" s="4"/>
      <c r="L81" s="18"/>
    </row>
    <row r="82" spans="1:22" ht="20.100000000000001" customHeight="1" x14ac:dyDescent="0.25">
      <c r="A82" s="4" t="s">
        <v>569</v>
      </c>
      <c r="B82" s="100">
        <f>INDEX(Performance[#All],MATCH(Table10[[#This Row],[Employee_Name]],Performance[[#All],[Employee_Name]],0),MATCH(Table10[[#Headers],[Overall_Score]],Performance[#Headers],0))</f>
        <v>100</v>
      </c>
      <c r="C82" s="130">
        <f>INDEX(Performance[#All],MATCH(Table10[[#This Row],[Employee_Name]],Performance[[#All],[Employee_Name]],0),MATCH(Table10[[#Headers],[Target_Attainment]],Performance[#Headers],0))</f>
        <v>1.3464935064935064</v>
      </c>
      <c r="D82" s="4"/>
      <c r="E82" s="4"/>
      <c r="F82" s="7"/>
      <c r="G82" s="40"/>
      <c r="H82" s="7"/>
      <c r="J82" s="7"/>
      <c r="K82" s="4"/>
      <c r="L82" s="18"/>
    </row>
    <row r="83" spans="1:22" ht="20.100000000000001" customHeight="1" x14ac:dyDescent="0.25">
      <c r="A83" s="4" t="s">
        <v>571</v>
      </c>
      <c r="B83" s="100">
        <f>INDEX(Performance[#All],MATCH(Table10[[#This Row],[Employee_Name]],Performance[[#All],[Employee_Name]],0),MATCH(Table10[[#Headers],[Overall_Score]],Performance[#Headers],0))</f>
        <v>100</v>
      </c>
      <c r="C83" s="130">
        <f>INDEX(Performance[#All],MATCH(Table10[[#This Row],[Employee_Name]],Performance[[#All],[Employee_Name]],0),MATCH(Table10[[#Headers],[Target_Attainment]],Performance[#Headers],0))</f>
        <v>1.2914141414141413</v>
      </c>
      <c r="D83" s="4"/>
      <c r="E83" s="4"/>
      <c r="F83" s="7"/>
      <c r="G83" s="40"/>
      <c r="H83" s="7"/>
      <c r="J83" s="7"/>
      <c r="K83" s="4"/>
      <c r="L83" s="18"/>
    </row>
    <row r="84" spans="1:22" ht="20.100000000000001" customHeight="1" x14ac:dyDescent="0.25">
      <c r="A84" s="4" t="s">
        <v>574</v>
      </c>
      <c r="B84" s="100">
        <f>INDEX(Performance[#All],MATCH(Table10[[#This Row],[Employee_Name]],Performance[[#All],[Employee_Name]],0),MATCH(Table10[[#Headers],[Overall_Score]],Performance[#Headers],0))</f>
        <v>95.3</v>
      </c>
      <c r="C84" s="130">
        <f>INDEX(Performance[#All],MATCH(Table10[[#This Row],[Employee_Name]],Performance[[#All],[Employee_Name]],0),MATCH(Table10[[#Headers],[Target_Attainment]],Performance[#Headers],0))</f>
        <v>1.1288297872340425</v>
      </c>
      <c r="D84" s="4"/>
      <c r="E84" s="4"/>
      <c r="F84" s="7"/>
      <c r="G84" s="40"/>
      <c r="H84" s="7"/>
      <c r="J84" s="7"/>
      <c r="K84" s="4"/>
      <c r="L84" s="18"/>
    </row>
    <row r="85" spans="1:22" ht="20.100000000000001" customHeight="1" x14ac:dyDescent="0.25">
      <c r="A85" s="4" t="s">
        <v>576</v>
      </c>
      <c r="B85" s="100">
        <f>INDEX(Performance[#All],MATCH(Table10[[#This Row],[Employee_Name]],Performance[[#All],[Employee_Name]],0),MATCH(Table10[[#Headers],[Overall_Score]],Performance[#Headers],0))</f>
        <v>93.3</v>
      </c>
      <c r="C85" s="130">
        <f>INDEX(Performance[#All],MATCH(Table10[[#This Row],[Employee_Name]],Performance[[#All],[Employee_Name]],0),MATCH(Table10[[#Headers],[Target_Attainment]],Performance[#Headers],0))</f>
        <v>1.1038709677419354</v>
      </c>
      <c r="D85" s="4"/>
      <c r="E85" s="4"/>
      <c r="F85" s="7"/>
      <c r="G85" s="40"/>
      <c r="H85" s="7"/>
      <c r="J85" s="7"/>
      <c r="K85" s="4"/>
      <c r="L85" s="18"/>
    </row>
    <row r="86" spans="1:22" ht="20.100000000000001" customHeight="1" x14ac:dyDescent="0.25">
      <c r="A86" s="4" t="s">
        <v>577</v>
      </c>
      <c r="B86" s="100">
        <f>INDEX(Performance[#All],MATCH(Table10[[#This Row],[Employee_Name]],Performance[[#All],[Employee_Name]],0),MATCH(Table10[[#Headers],[Overall_Score]],Performance[#Headers],0))</f>
        <v>94.1</v>
      </c>
      <c r="C86" s="130">
        <f>INDEX(Performance[#All],MATCH(Table10[[#This Row],[Employee_Name]],Performance[[#All],[Employee_Name]],0),MATCH(Table10[[#Headers],[Target_Attainment]],Performance[#Headers],0))</f>
        <v>1.0789473684210527</v>
      </c>
      <c r="D86" s="4"/>
      <c r="E86" s="4"/>
      <c r="F86" s="7"/>
      <c r="G86" s="40"/>
      <c r="H86" s="7"/>
      <c r="J86" s="7"/>
      <c r="K86" s="4"/>
      <c r="L86" s="18"/>
    </row>
    <row r="87" spans="1:22" ht="20.100000000000001" customHeight="1" x14ac:dyDescent="0.25">
      <c r="A87" s="4" t="s">
        <v>578</v>
      </c>
      <c r="B87" s="100">
        <f>INDEX(Performance[#All],MATCH(Table10[[#This Row],[Employee_Name]],Performance[[#All],[Employee_Name]],0),MATCH(Table10[[#Headers],[Overall_Score]],Performance[#Headers],0))</f>
        <v>100</v>
      </c>
      <c r="C87" s="130">
        <f>INDEX(Performance[#All],MATCH(Table10[[#This Row],[Employee_Name]],Performance[[#All],[Employee_Name]],0),MATCH(Table10[[#Headers],[Target_Attainment]],Performance[#Headers],0))</f>
        <v>1.2703508771929826</v>
      </c>
      <c r="D87" s="4"/>
      <c r="E87" s="4"/>
      <c r="F87" s="7"/>
      <c r="G87" s="40"/>
      <c r="H87" s="7"/>
      <c r="J87" s="7"/>
      <c r="K87" s="4"/>
      <c r="L87" s="18"/>
    </row>
    <row r="88" spans="1:22" ht="20.100000000000001" customHeight="1" x14ac:dyDescent="0.25">
      <c r="A88" s="4" t="s">
        <v>580</v>
      </c>
      <c r="B88" s="128">
        <f>INDEX(Performance[#All],MATCH(Table10[[#This Row],[Employee_Name]],Performance[[#All],[Employee_Name]],0),MATCH(Table10[[#Headers],[Overall_Score]],Performance[#Headers],0))</f>
        <v>93</v>
      </c>
      <c r="C88" s="130">
        <f>INDEX(Performance[#All],MATCH(Table10[[#This Row],[Employee_Name]],Performance[[#All],[Employee_Name]],0),MATCH(Table10[[#Headers],[Target_Attainment]],Performance[#Headers],0))</f>
        <v>1.0154716981132075</v>
      </c>
      <c r="D88" s="4"/>
      <c r="E88" s="4"/>
      <c r="F88" s="7"/>
      <c r="G88" s="40"/>
      <c r="H88" s="7"/>
      <c r="J88" s="7"/>
      <c r="K88" s="4"/>
      <c r="L88" s="18"/>
    </row>
    <row r="89" spans="1:22" ht="20.100000000000001" customHeight="1" x14ac:dyDescent="0.25">
      <c r="A89" s="4" t="s">
        <v>581</v>
      </c>
      <c r="B89" s="128">
        <f>INDEX(Performance[#All],MATCH(Table10[[#This Row],[Employee_Name]],Performance[[#All],[Employee_Name]],0),MATCH(Table10[[#Headers],[Overall_Score]],Performance[#Headers],0))</f>
        <v>100</v>
      </c>
      <c r="C89" s="130">
        <f>INDEX(Performance[#All],MATCH(Table10[[#This Row],[Employee_Name]],Performance[[#All],[Employee_Name]],0),MATCH(Table10[[#Headers],[Target_Attainment]],Performance[#Headers],0))</f>
        <v>1.3003370786516855</v>
      </c>
      <c r="D89" s="4"/>
      <c r="E89" s="4"/>
      <c r="F89" s="7"/>
      <c r="G89" s="40"/>
      <c r="H89" s="7"/>
      <c r="J89" s="7"/>
      <c r="K89" s="4"/>
      <c r="L89" s="18"/>
    </row>
    <row r="90" spans="1:22" ht="20.100000000000001" customHeight="1" x14ac:dyDescent="0.25">
      <c r="A90" s="4" t="s">
        <v>582</v>
      </c>
      <c r="B90" s="128">
        <f>INDEX(Performance[#All],MATCH(Table10[[#This Row],[Employee_Name]],Performance[[#All],[Employee_Name]],0),MATCH(Table10[[#Headers],[Overall_Score]],Performance[#Headers],0))</f>
        <v>97.8</v>
      </c>
      <c r="C90" s="129">
        <f>INDEX(Performance[#All],MATCH(Table10[[#This Row],[Employee_Name]],Performance[[#All],[Employee_Name]],0),MATCH(Table10[[#Headers],[Target_Attainment]],Performance[#Headers],0))</f>
        <v>1.17</v>
      </c>
      <c r="D90" s="4"/>
      <c r="E90" s="4"/>
      <c r="F90" s="7"/>
      <c r="G90" s="40"/>
      <c r="H90" s="7"/>
      <c r="J90" s="7"/>
      <c r="K90" s="4"/>
      <c r="L90" s="18"/>
      <c r="T90" s="76"/>
      <c r="U90" s="76"/>
      <c r="V90" s="78"/>
    </row>
    <row r="91" spans="1:22" ht="20.100000000000001" customHeight="1" x14ac:dyDescent="0.25">
      <c r="A91" s="17" t="s">
        <v>587</v>
      </c>
      <c r="B91" s="128">
        <f>INDEX(Performance[#All],MATCH(Table10[[#This Row],[Employee_Name]],Performance[[#All],[Employee_Name]],0),MATCH(Table10[[#Headers],[Overall_Score]],Performance[#Headers],0))</f>
        <v>100</v>
      </c>
      <c r="C91" s="130">
        <f>INDEX(Performance[#All],MATCH(Table10[[#This Row],[Employee_Name]],Performance[[#All],[Employee_Name]],0),MATCH(Table10[[#Headers],[Target_Attainment]],Performance[#Headers],0))</f>
        <v>1.4475</v>
      </c>
      <c r="D91" s="4"/>
      <c r="E91" s="4"/>
      <c r="F91" s="7"/>
      <c r="G91" s="40"/>
      <c r="H91" s="7"/>
      <c r="J91" s="7"/>
      <c r="K91" s="4"/>
      <c r="L91" s="18"/>
      <c r="T91" s="76"/>
      <c r="U91" s="76"/>
      <c r="V91" s="78"/>
    </row>
    <row r="92" spans="1:22" ht="20.100000000000001" customHeight="1" x14ac:dyDescent="0.25">
      <c r="A92" s="17" t="s">
        <v>588</v>
      </c>
      <c r="B92" s="128">
        <f>INDEX(Performance[#All],MATCH(Table10[[#This Row],[Employee_Name]],Performance[[#All],[Employee_Name]],0),MATCH(Table10[[#Headers],[Overall_Score]],Performance[#Headers],0))</f>
        <v>93.7</v>
      </c>
      <c r="C92" s="130">
        <f>INDEX(Performance[#All],MATCH(Table10[[#This Row],[Employee_Name]],Performance[[#All],[Employee_Name]],0),MATCH(Table10[[#Headers],[Target_Attainment]],Performance[#Headers],0))</f>
        <v>1.0737142857142856</v>
      </c>
      <c r="D92" s="4"/>
      <c r="E92" s="4"/>
      <c r="F92" s="7"/>
      <c r="G92" s="40"/>
      <c r="H92" s="7"/>
      <c r="J92" s="7"/>
      <c r="K92" s="4"/>
      <c r="L92" s="18"/>
      <c r="T92" s="76"/>
      <c r="U92" s="76"/>
      <c r="V92" s="78"/>
    </row>
    <row r="93" spans="1:22" ht="20.100000000000001" customHeight="1" x14ac:dyDescent="0.25">
      <c r="A93" s="17" t="s">
        <v>589</v>
      </c>
      <c r="B93" s="128">
        <f>INDEX(Performance[#All],MATCH(Table10[[#This Row],[Employee_Name]],Performance[[#All],[Employee_Name]],0),MATCH(Table10[[#Headers],[Overall_Score]],Performance[#Headers],0))</f>
        <v>95.6</v>
      </c>
      <c r="C93" s="130">
        <f>INDEX(Performance[#All],MATCH(Table10[[#This Row],[Employee_Name]],Performance[[#All],[Employee_Name]],0),MATCH(Table10[[#Headers],[Target_Attainment]],Performance[#Headers],0))</f>
        <v>1.0241379310344827</v>
      </c>
      <c r="D93" s="4"/>
      <c r="E93" s="4"/>
      <c r="F93" s="7"/>
      <c r="G93" s="40"/>
      <c r="H93" s="7"/>
      <c r="J93" s="7"/>
      <c r="K93" s="4"/>
      <c r="L93" s="18"/>
      <c r="T93" s="76"/>
      <c r="U93" s="76"/>
      <c r="V93" s="78"/>
    </row>
    <row r="94" spans="1:22" ht="20.100000000000001" customHeight="1" x14ac:dyDescent="0.25">
      <c r="A94" s="22" t="s">
        <v>591</v>
      </c>
      <c r="B94" s="128">
        <f>INDEX(Performance[#All],MATCH(Table10[[#This Row],[Employee_Name]],Performance[[#All],[Employee_Name]],0),MATCH(Table10[[#Headers],[Overall_Score]],Performance[#Headers],0))</f>
        <v>100</v>
      </c>
      <c r="C94" s="129">
        <f>INDEX(Performance[#All],MATCH(Table10[[#This Row],[Employee_Name]],Performance[[#All],[Employee_Name]],0),MATCH(Table10[[#Headers],[Target_Attainment]],Performance[#Headers],0))</f>
        <v>1.1529687500000001</v>
      </c>
      <c r="D94" s="4"/>
      <c r="E94" s="4"/>
      <c r="F94" s="7"/>
      <c r="G94" s="40"/>
      <c r="H94" s="7"/>
      <c r="J94" s="7"/>
      <c r="K94" s="4"/>
      <c r="L94" s="18"/>
      <c r="T94" s="76"/>
      <c r="U94" s="76"/>
      <c r="V94" s="78"/>
    </row>
    <row r="95" spans="1:22" ht="20.100000000000001" customHeight="1" x14ac:dyDescent="0.25">
      <c r="A95" s="22" t="s">
        <v>594</v>
      </c>
      <c r="B95" s="128">
        <f>INDEX(Performance[#All],MATCH(Table10[[#This Row],[Employee_Name]],Performance[[#All],[Employee_Name]],0),MATCH(Table10[[#Headers],[Overall_Score]],Performance[#Headers],0))</f>
        <v>94.9</v>
      </c>
      <c r="C95" s="129">
        <f>INDEX(Performance[#All],MATCH(Table10[[#This Row],[Employee_Name]],Performance[[#All],[Employee_Name]],0),MATCH(Table10[[#Headers],[Target_Attainment]],Performance[#Headers],0))</f>
        <v>1.136891891891892</v>
      </c>
      <c r="D95" s="4"/>
      <c r="E95" s="4"/>
      <c r="F95" s="7"/>
      <c r="G95" s="40"/>
      <c r="H95" s="7"/>
      <c r="J95" s="7"/>
      <c r="K95" s="4"/>
      <c r="L95" s="18"/>
      <c r="T95" s="76"/>
      <c r="U95" s="76"/>
      <c r="V95" s="78"/>
    </row>
    <row r="96" spans="1:22" ht="20.100000000000001" customHeight="1" x14ac:dyDescent="0.25">
      <c r="A96" s="17" t="s">
        <v>597</v>
      </c>
      <c r="B96" s="128">
        <f>INDEX(Performance[#All],MATCH(Table10[[#This Row],[Employee_Name]],Performance[[#All],[Employee_Name]],0),MATCH(Table10[[#Headers],[Overall_Score]],Performance[#Headers],0))</f>
        <v>94.6</v>
      </c>
      <c r="C96" s="130">
        <f>INDEX(Performance[#All],MATCH(Table10[[#This Row],[Employee_Name]],Performance[[#All],[Employee_Name]],0),MATCH(Table10[[#Headers],[Target_Attainment]],Performance[#Headers],0))</f>
        <v>1.097361111111111</v>
      </c>
      <c r="D96" s="4"/>
      <c r="E96" s="4"/>
      <c r="F96" s="7"/>
      <c r="G96" s="40"/>
      <c r="H96" s="7"/>
      <c r="J96" s="7"/>
      <c r="K96" s="4"/>
      <c r="L96" s="18"/>
      <c r="T96" s="76"/>
      <c r="U96" s="76"/>
      <c r="V96" s="78"/>
    </row>
    <row r="97" spans="1:22" ht="20.100000000000001" customHeight="1" x14ac:dyDescent="0.25">
      <c r="A97" s="22" t="s">
        <v>599</v>
      </c>
      <c r="B97" s="128">
        <f>INDEX(Performance[#All],MATCH(Table10[[#This Row],[Employee_Name]],Performance[[#All],[Employee_Name]],0),MATCH(Table10[[#Headers],[Overall_Score]],Performance[#Headers],0))</f>
        <v>95.4</v>
      </c>
      <c r="C97" s="129">
        <f>INDEX(Performance[#All],MATCH(Table10[[#This Row],[Employee_Name]],Performance[[#All],[Employee_Name]],0),MATCH(Table10[[#Headers],[Target_Attainment]],Performance[#Headers],0))</f>
        <v>1.098032786885246</v>
      </c>
      <c r="D97" s="4"/>
      <c r="E97" s="4"/>
      <c r="F97" s="7"/>
      <c r="G97" s="40"/>
      <c r="H97" s="7"/>
      <c r="J97" s="7"/>
      <c r="K97" s="4"/>
      <c r="L97" s="18"/>
      <c r="T97" s="76"/>
      <c r="U97" s="76"/>
      <c r="V97" s="78"/>
    </row>
    <row r="98" spans="1:22" ht="20.100000000000001" customHeight="1" x14ac:dyDescent="0.25">
      <c r="A98" s="22" t="s">
        <v>602</v>
      </c>
      <c r="B98" s="128">
        <f>INDEX(Performance[#All],MATCH(Table10[[#This Row],[Employee_Name]],Performance[[#All],[Employee_Name]],0),MATCH(Table10[[#Headers],[Overall_Score]],Performance[#Headers],0))</f>
        <v>94.7</v>
      </c>
      <c r="C98" s="129">
        <f>INDEX(Performance[#All],MATCH(Table10[[#This Row],[Employee_Name]],Performance[[#All],[Employee_Name]],0),MATCH(Table10[[#Headers],[Target_Attainment]],Performance[#Headers],0))</f>
        <v>1.0539622641509434</v>
      </c>
      <c r="D98" s="4"/>
      <c r="E98" s="4"/>
      <c r="F98" s="7"/>
      <c r="G98" s="40"/>
      <c r="H98" s="7"/>
      <c r="J98" s="7"/>
      <c r="K98" s="4"/>
      <c r="L98" s="18"/>
      <c r="T98" s="76"/>
      <c r="U98" s="76"/>
      <c r="V98" s="78"/>
    </row>
    <row r="99" spans="1:22" ht="20.100000000000001" customHeight="1" x14ac:dyDescent="0.25">
      <c r="A99" s="22"/>
      <c r="B99" s="6"/>
      <c r="C99" s="18"/>
      <c r="D99" s="4"/>
      <c r="E99" s="4"/>
      <c r="F99" s="7"/>
      <c r="G99" s="40"/>
      <c r="H99" s="7"/>
      <c r="J99" s="7"/>
      <c r="K99" s="4"/>
      <c r="L99" s="18"/>
      <c r="T99" s="76"/>
      <c r="U99" s="76"/>
      <c r="V99" s="78"/>
    </row>
    <row r="100" spans="1:22" ht="20.100000000000001" customHeight="1" x14ac:dyDescent="0.25">
      <c r="A100" s="22"/>
      <c r="B100" s="6"/>
      <c r="C100" s="18"/>
      <c r="D100" s="4"/>
      <c r="E100" s="4"/>
      <c r="F100" s="7"/>
      <c r="G100" s="40"/>
      <c r="H100" s="7"/>
      <c r="J100" s="7"/>
      <c r="K100" s="4"/>
      <c r="L100" s="18"/>
      <c r="T100" s="76"/>
      <c r="U100" s="76"/>
      <c r="V100" s="78"/>
    </row>
    <row r="101" spans="1:22" ht="20.100000000000001" customHeight="1" x14ac:dyDescent="0.25">
      <c r="A101" s="22"/>
      <c r="B101" s="6"/>
      <c r="C101" s="18"/>
      <c r="D101" s="4"/>
      <c r="E101" s="4"/>
      <c r="F101" s="7"/>
      <c r="G101" s="40"/>
      <c r="H101" s="7"/>
      <c r="J101" s="7"/>
      <c r="K101" s="4"/>
      <c r="L101" s="18"/>
      <c r="T101" s="76"/>
      <c r="U101" s="76"/>
      <c r="V101" s="78"/>
    </row>
    <row r="102" spans="1:22" ht="20.100000000000001" customHeight="1" x14ac:dyDescent="0.25">
      <c r="A102" s="22"/>
      <c r="B102" s="6"/>
      <c r="C102" s="18"/>
      <c r="D102" s="4"/>
      <c r="E102" s="4"/>
      <c r="F102" s="7"/>
      <c r="G102" s="40"/>
      <c r="H102" s="7"/>
      <c r="J102" s="7"/>
      <c r="K102" s="4"/>
      <c r="L102" s="18"/>
      <c r="T102" s="76"/>
      <c r="U102" s="76"/>
      <c r="V102" s="78"/>
    </row>
    <row r="103" spans="1:22" ht="20.100000000000001" customHeight="1" x14ac:dyDescent="0.25">
      <c r="A103" s="22"/>
      <c r="B103" s="6"/>
      <c r="C103" s="18"/>
      <c r="D103" s="4"/>
      <c r="E103" s="4"/>
      <c r="F103" s="7"/>
      <c r="G103" s="40"/>
      <c r="H103" s="7"/>
      <c r="J103" s="7"/>
      <c r="K103" s="4"/>
      <c r="L103" s="18"/>
      <c r="T103" s="76"/>
      <c r="U103" s="76"/>
      <c r="V103" s="78"/>
    </row>
    <row r="104" spans="1:22" ht="20.100000000000001" customHeight="1" x14ac:dyDescent="0.25">
      <c r="A104" s="22"/>
      <c r="B104" s="6"/>
      <c r="C104" s="18"/>
      <c r="D104" s="4"/>
      <c r="E104" s="4"/>
      <c r="F104" s="7"/>
      <c r="G104" s="40"/>
      <c r="H104" s="7"/>
      <c r="J104" s="7"/>
      <c r="K104" s="4"/>
      <c r="L104" s="18"/>
      <c r="T104" s="76"/>
      <c r="U104" s="76"/>
      <c r="V104" s="78"/>
    </row>
    <row r="105" spans="1:22" ht="20.100000000000001" customHeight="1" x14ac:dyDescent="0.25">
      <c r="A105" s="22"/>
      <c r="B105" s="6"/>
      <c r="C105" s="18"/>
      <c r="D105" s="4"/>
      <c r="E105" s="4"/>
      <c r="F105" s="7"/>
      <c r="G105" s="40"/>
      <c r="H105" s="7"/>
      <c r="J105" s="7"/>
      <c r="K105" s="4"/>
      <c r="L105" s="18"/>
      <c r="T105" s="76"/>
      <c r="U105" s="76"/>
      <c r="V105" s="78"/>
    </row>
    <row r="106" spans="1:22" ht="20.100000000000001" customHeight="1" x14ac:dyDescent="0.25">
      <c r="A106" s="22"/>
      <c r="B106" s="23"/>
      <c r="C106" s="26"/>
      <c r="D106" s="4"/>
      <c r="E106" s="4"/>
      <c r="F106" s="7"/>
      <c r="G106" s="40"/>
      <c r="H106" s="7"/>
      <c r="J106" s="7"/>
      <c r="K106" s="4"/>
      <c r="L106" s="18"/>
      <c r="T106" s="76"/>
      <c r="U106" s="76"/>
      <c r="V106" s="78"/>
    </row>
    <row r="107" spans="1:22" ht="20.100000000000001" customHeight="1" x14ac:dyDescent="0.25">
      <c r="A107" s="22"/>
      <c r="B107" s="6"/>
      <c r="C107" s="18"/>
      <c r="D107" s="4"/>
      <c r="E107" s="4"/>
      <c r="F107" s="7"/>
      <c r="G107" s="40"/>
      <c r="H107" s="7"/>
      <c r="J107" s="7"/>
      <c r="K107" s="4"/>
      <c r="L107" s="18"/>
      <c r="T107" s="76"/>
      <c r="U107" s="76"/>
      <c r="V107" s="78"/>
    </row>
    <row r="108" spans="1:22" ht="20.100000000000001" customHeight="1" x14ac:dyDescent="0.25">
      <c r="A108" s="22"/>
      <c r="B108" s="6"/>
      <c r="C108" s="18"/>
      <c r="D108" s="4"/>
      <c r="E108" s="4"/>
      <c r="F108" s="7"/>
      <c r="G108" s="40"/>
      <c r="H108" s="7"/>
      <c r="J108" s="7"/>
      <c r="K108" s="4"/>
      <c r="L108" s="18"/>
      <c r="T108" s="76"/>
      <c r="U108" s="76"/>
      <c r="V108" s="78"/>
    </row>
    <row r="109" spans="1:22" ht="20.100000000000001" customHeight="1" x14ac:dyDescent="0.25">
      <c r="A109" s="22"/>
      <c r="B109" s="6"/>
      <c r="C109" s="18"/>
      <c r="D109" s="4"/>
      <c r="E109" s="4"/>
      <c r="F109" s="7"/>
      <c r="G109" s="40"/>
      <c r="H109" s="7"/>
      <c r="J109" s="7"/>
      <c r="K109" s="4"/>
      <c r="L109" s="18"/>
      <c r="T109" s="76"/>
      <c r="U109" s="76"/>
      <c r="V109" s="78"/>
    </row>
    <row r="110" spans="1:22" ht="20.100000000000001" customHeight="1" x14ac:dyDescent="0.25">
      <c r="A110" s="22"/>
      <c r="B110" s="6"/>
      <c r="C110" s="18"/>
      <c r="D110" s="4"/>
      <c r="E110" s="4"/>
      <c r="F110" s="7"/>
      <c r="G110" s="40"/>
      <c r="H110" s="7"/>
      <c r="J110" s="7"/>
      <c r="K110" s="4"/>
      <c r="L110" s="18"/>
      <c r="T110" s="76"/>
      <c r="U110" s="76"/>
      <c r="V110" s="78"/>
    </row>
    <row r="111" spans="1:22" ht="20.100000000000001" customHeight="1" x14ac:dyDescent="0.25">
      <c r="A111" s="22"/>
      <c r="B111" s="6"/>
      <c r="C111" s="18"/>
      <c r="D111" s="4"/>
      <c r="E111" s="4"/>
      <c r="F111" s="7"/>
      <c r="G111" s="40"/>
      <c r="H111" s="7"/>
      <c r="J111" s="7"/>
      <c r="K111" s="4"/>
      <c r="L111" s="18"/>
      <c r="T111" s="76"/>
      <c r="U111" s="76"/>
      <c r="V111" s="78"/>
    </row>
    <row r="112" spans="1:22" ht="20.100000000000001" customHeight="1" x14ac:dyDescent="0.25">
      <c r="A112" s="22"/>
      <c r="B112" s="6"/>
      <c r="C112" s="18"/>
      <c r="D112" s="4"/>
      <c r="E112" s="4"/>
      <c r="F112" s="7"/>
      <c r="G112" s="40"/>
      <c r="H112" s="7"/>
      <c r="J112" s="7"/>
      <c r="K112" s="4"/>
      <c r="L112" s="18"/>
      <c r="T112" s="76"/>
      <c r="U112" s="76"/>
      <c r="V112" s="78"/>
    </row>
    <row r="113" spans="1:22" ht="20.100000000000001" customHeight="1" x14ac:dyDescent="0.25">
      <c r="A113" s="22"/>
      <c r="B113" s="6"/>
      <c r="C113" s="18"/>
      <c r="D113" s="4"/>
      <c r="E113" s="4"/>
      <c r="F113" s="7"/>
      <c r="G113" s="40"/>
      <c r="H113" s="7"/>
      <c r="J113" s="7"/>
      <c r="K113" s="4"/>
      <c r="L113" s="18"/>
      <c r="T113" s="76"/>
      <c r="U113" s="76"/>
      <c r="V113" s="78"/>
    </row>
    <row r="114" spans="1:22" ht="20.100000000000001" customHeight="1" x14ac:dyDescent="0.25">
      <c r="A114" s="22"/>
      <c r="B114" s="6"/>
      <c r="C114" s="18"/>
      <c r="D114" s="4"/>
      <c r="E114" s="4"/>
      <c r="F114" s="7"/>
      <c r="G114" s="40"/>
      <c r="H114" s="7"/>
      <c r="J114" s="7"/>
      <c r="K114" s="4"/>
      <c r="L114" s="18"/>
      <c r="T114" s="76"/>
      <c r="U114" s="76"/>
      <c r="V114" s="78"/>
    </row>
    <row r="115" spans="1:22" ht="20.100000000000001" customHeight="1" x14ac:dyDescent="0.25">
      <c r="A115" s="22"/>
      <c r="B115" s="6"/>
      <c r="C115" s="18"/>
      <c r="D115" s="4"/>
      <c r="E115" s="4"/>
      <c r="F115" s="7"/>
      <c r="G115" s="40"/>
      <c r="H115" s="7"/>
      <c r="J115" s="7"/>
      <c r="K115" s="4"/>
      <c r="L115" s="18"/>
      <c r="T115" s="76"/>
      <c r="U115" s="76"/>
      <c r="V115" s="78"/>
    </row>
    <row r="116" spans="1:22" ht="20.100000000000001" customHeight="1" x14ac:dyDescent="0.25">
      <c r="A116" s="22"/>
      <c r="B116" s="6"/>
      <c r="C116" s="18"/>
      <c r="D116" s="4"/>
      <c r="E116" s="4"/>
      <c r="F116" s="7"/>
      <c r="G116" s="40"/>
      <c r="H116" s="7"/>
      <c r="J116" s="7"/>
      <c r="K116" s="4"/>
      <c r="L116" s="18"/>
      <c r="T116" s="76"/>
      <c r="U116" s="76"/>
      <c r="V116" s="78"/>
    </row>
    <row r="117" spans="1:22" ht="20.100000000000001" customHeight="1" x14ac:dyDescent="0.25">
      <c r="A117" s="22"/>
      <c r="B117" s="6"/>
      <c r="C117" s="18"/>
      <c r="D117" s="4"/>
      <c r="E117" s="4"/>
      <c r="F117" s="7"/>
      <c r="G117" s="40"/>
      <c r="H117" s="7"/>
      <c r="J117" s="7"/>
      <c r="K117" s="4"/>
      <c r="L117" s="18"/>
      <c r="T117" s="76"/>
      <c r="U117" s="76"/>
      <c r="V117" s="78"/>
    </row>
    <row r="118" spans="1:22" ht="20.100000000000001" customHeight="1" x14ac:dyDescent="0.25">
      <c r="A118" s="22"/>
      <c r="B118" s="6"/>
      <c r="C118" s="18"/>
      <c r="D118" s="4"/>
      <c r="E118" s="4"/>
      <c r="F118" s="7"/>
      <c r="G118" s="40"/>
      <c r="H118" s="7"/>
      <c r="J118" s="7"/>
      <c r="K118" s="4"/>
      <c r="L118" s="18"/>
      <c r="T118" s="76"/>
      <c r="U118" s="76"/>
      <c r="V118" s="78"/>
    </row>
    <row r="119" spans="1:22" ht="20.100000000000001" customHeight="1" x14ac:dyDescent="0.25">
      <c r="A119" s="22"/>
      <c r="B119" s="6"/>
      <c r="C119" s="18"/>
      <c r="D119" s="4"/>
      <c r="E119" s="4"/>
      <c r="F119" s="7"/>
      <c r="G119" s="40"/>
      <c r="H119" s="7"/>
      <c r="J119" s="7"/>
      <c r="K119" s="4"/>
      <c r="L119" s="18"/>
      <c r="T119" s="76"/>
      <c r="U119" s="76"/>
      <c r="V119" s="78"/>
    </row>
    <row r="120" spans="1:22" ht="20.100000000000001" customHeight="1" x14ac:dyDescent="0.25">
      <c r="A120" s="22"/>
      <c r="B120" s="6"/>
      <c r="C120" s="18"/>
      <c r="D120" s="4"/>
      <c r="E120" s="4"/>
      <c r="F120" s="7"/>
      <c r="G120" s="40"/>
      <c r="H120" s="7"/>
      <c r="J120" s="7"/>
      <c r="K120" s="4"/>
      <c r="L120" s="18"/>
      <c r="T120" s="76"/>
      <c r="U120" s="76"/>
      <c r="V120" s="78"/>
    </row>
    <row r="121" spans="1:22" ht="20.100000000000001" customHeight="1" x14ac:dyDescent="0.25">
      <c r="A121" s="22"/>
      <c r="B121" s="6"/>
      <c r="C121" s="18"/>
      <c r="D121" s="4"/>
      <c r="E121" s="4"/>
      <c r="F121" s="7"/>
      <c r="G121" s="40"/>
      <c r="H121" s="7"/>
      <c r="J121" s="7"/>
      <c r="K121" s="4"/>
      <c r="L121" s="18"/>
      <c r="T121" s="76"/>
      <c r="U121" s="76"/>
      <c r="V121" s="78"/>
    </row>
    <row r="122" spans="1:22" ht="20.100000000000001" customHeight="1" x14ac:dyDescent="0.25">
      <c r="A122" s="22"/>
      <c r="B122" s="6"/>
      <c r="C122" s="18"/>
      <c r="D122" s="4"/>
      <c r="E122" s="4"/>
      <c r="F122" s="7"/>
      <c r="G122" s="40"/>
      <c r="H122" s="7"/>
      <c r="J122" s="7"/>
      <c r="K122" s="4"/>
      <c r="L122" s="18"/>
      <c r="T122" s="76"/>
      <c r="U122" s="76"/>
      <c r="V122" s="78"/>
    </row>
    <row r="123" spans="1:22" ht="20.100000000000001" customHeight="1" x14ac:dyDescent="0.25">
      <c r="A123" s="22"/>
      <c r="B123" s="6"/>
      <c r="C123" s="18"/>
      <c r="D123" s="4"/>
      <c r="E123" s="4"/>
      <c r="F123" s="7"/>
      <c r="G123" s="40"/>
      <c r="H123" s="7"/>
      <c r="J123" s="7"/>
      <c r="K123" s="4"/>
      <c r="L123" s="18"/>
      <c r="T123" s="76"/>
      <c r="U123" s="76"/>
      <c r="V123" s="78"/>
    </row>
    <row r="124" spans="1:22" ht="20.100000000000001" customHeight="1" x14ac:dyDescent="0.25">
      <c r="A124" s="22"/>
      <c r="B124" s="6"/>
      <c r="C124" s="18"/>
      <c r="D124" s="4"/>
      <c r="E124" s="4"/>
      <c r="F124" s="7"/>
      <c r="G124" s="40"/>
      <c r="H124" s="7"/>
      <c r="J124" s="7"/>
      <c r="K124" s="4"/>
      <c r="L124" s="18"/>
      <c r="T124" s="76"/>
      <c r="U124" s="76"/>
      <c r="V124" s="78"/>
    </row>
    <row r="125" spans="1:22" ht="20.100000000000001" customHeight="1" x14ac:dyDescent="0.25">
      <c r="A125" s="22"/>
      <c r="B125" s="6"/>
      <c r="C125" s="18"/>
      <c r="D125" s="4"/>
      <c r="E125" s="4"/>
      <c r="F125" s="7"/>
      <c r="G125" s="40"/>
      <c r="H125" s="7"/>
      <c r="J125" s="7"/>
      <c r="K125" s="4"/>
      <c r="L125" s="18"/>
      <c r="T125" s="76"/>
      <c r="U125" s="76"/>
      <c r="V125" s="78"/>
    </row>
    <row r="126" spans="1:22" ht="20.100000000000001" customHeight="1" x14ac:dyDescent="0.25">
      <c r="A126" s="22"/>
      <c r="B126" s="23"/>
      <c r="C126" s="26"/>
      <c r="D126" s="4"/>
      <c r="E126" s="4"/>
      <c r="F126" s="7"/>
      <c r="G126" s="40"/>
      <c r="H126" s="7"/>
      <c r="J126" s="7"/>
      <c r="K126" s="4"/>
      <c r="L126" s="18"/>
      <c r="T126" s="76"/>
      <c r="U126" s="76"/>
      <c r="V126" s="78"/>
    </row>
    <row r="127" spans="1:22" ht="20.100000000000001" customHeight="1" x14ac:dyDescent="0.25">
      <c r="A127" s="22"/>
      <c r="B127" s="6"/>
      <c r="C127" s="18"/>
      <c r="D127" s="4"/>
      <c r="E127" s="4"/>
      <c r="F127" s="7"/>
      <c r="G127" s="40"/>
      <c r="H127" s="7"/>
      <c r="J127" s="7"/>
      <c r="K127" s="4"/>
      <c r="L127" s="18"/>
      <c r="T127" s="76"/>
      <c r="U127" s="76"/>
      <c r="V127" s="78"/>
    </row>
    <row r="128" spans="1:22" ht="20.100000000000001" customHeight="1" x14ac:dyDescent="0.25">
      <c r="A128" s="22"/>
      <c r="B128" s="6"/>
      <c r="C128" s="18"/>
      <c r="D128" s="4"/>
      <c r="E128" s="4"/>
      <c r="F128" s="7"/>
      <c r="G128" s="40"/>
      <c r="H128" s="7"/>
      <c r="J128" s="7"/>
      <c r="K128" s="4"/>
      <c r="L128" s="18"/>
      <c r="T128" s="76"/>
      <c r="U128" s="76"/>
      <c r="V128" s="78"/>
    </row>
    <row r="129" spans="1:22" ht="20.100000000000001" customHeight="1" x14ac:dyDescent="0.25">
      <c r="A129" s="22"/>
      <c r="B129" s="6"/>
      <c r="C129" s="18"/>
      <c r="D129" s="4"/>
      <c r="E129" s="4"/>
      <c r="F129" s="7"/>
      <c r="G129" s="40"/>
      <c r="H129" s="7"/>
      <c r="J129" s="7"/>
      <c r="K129" s="4"/>
      <c r="L129" s="18"/>
      <c r="T129" s="76"/>
      <c r="U129" s="76"/>
      <c r="V129" s="78"/>
    </row>
    <row r="130" spans="1:22" ht="20.100000000000001" customHeight="1" x14ac:dyDescent="0.25">
      <c r="A130" s="22"/>
      <c r="B130" s="6"/>
      <c r="C130" s="18"/>
      <c r="D130" s="4"/>
      <c r="E130" s="4"/>
      <c r="F130" s="7"/>
      <c r="G130" s="40"/>
      <c r="H130" s="7"/>
      <c r="J130" s="7"/>
      <c r="K130" s="4"/>
      <c r="L130" s="18"/>
      <c r="T130" s="76"/>
      <c r="U130" s="76"/>
      <c r="V130" s="78"/>
    </row>
    <row r="131" spans="1:22" ht="20.100000000000001" customHeight="1" x14ac:dyDescent="0.25">
      <c r="A131" s="22"/>
      <c r="B131" s="6"/>
      <c r="C131" s="18"/>
      <c r="D131" s="4"/>
      <c r="E131" s="4"/>
      <c r="F131" s="7"/>
      <c r="G131" s="40"/>
      <c r="H131" s="7"/>
      <c r="J131" s="7"/>
      <c r="K131" s="4"/>
      <c r="L131" s="18"/>
      <c r="T131" s="76"/>
      <c r="U131" s="76"/>
      <c r="V131" s="78"/>
    </row>
    <row r="132" spans="1:22" ht="20.100000000000001" customHeight="1" x14ac:dyDescent="0.25">
      <c r="A132" s="22"/>
      <c r="B132" s="6"/>
      <c r="C132" s="18"/>
      <c r="D132" s="4"/>
      <c r="E132" s="4"/>
      <c r="F132" s="7"/>
      <c r="G132" s="40"/>
      <c r="H132" s="7"/>
      <c r="J132" s="7"/>
      <c r="K132" s="4"/>
      <c r="L132" s="18"/>
      <c r="T132" s="76"/>
      <c r="U132" s="76"/>
      <c r="V132" s="78"/>
    </row>
    <row r="133" spans="1:22" ht="20.100000000000001" customHeight="1" x14ac:dyDescent="0.25">
      <c r="A133" s="22"/>
      <c r="B133" s="6"/>
      <c r="C133" s="18"/>
      <c r="D133" s="4"/>
      <c r="E133" s="4"/>
      <c r="F133" s="7"/>
      <c r="G133" s="40"/>
      <c r="H133" s="7"/>
      <c r="J133" s="7"/>
      <c r="K133" s="4"/>
      <c r="L133" s="18"/>
      <c r="T133" s="76"/>
      <c r="U133" s="76"/>
      <c r="V133" s="78"/>
    </row>
    <row r="134" spans="1:22" ht="20.100000000000001" customHeight="1" x14ac:dyDescent="0.25">
      <c r="A134" s="22"/>
      <c r="B134" s="6"/>
      <c r="C134" s="18"/>
      <c r="D134" s="4"/>
      <c r="E134" s="4"/>
      <c r="F134" s="7"/>
      <c r="G134" s="40"/>
      <c r="H134" s="7"/>
      <c r="J134" s="7"/>
      <c r="K134" s="4"/>
      <c r="L134" s="18"/>
      <c r="T134" s="76"/>
      <c r="U134" s="76"/>
      <c r="V134" s="78"/>
    </row>
    <row r="135" spans="1:22" ht="20.100000000000001" customHeight="1" x14ac:dyDescent="0.25">
      <c r="A135" s="22"/>
      <c r="B135" s="6"/>
      <c r="C135" s="18"/>
      <c r="D135" s="4"/>
      <c r="E135" s="4"/>
      <c r="F135" s="7"/>
      <c r="G135" s="40"/>
      <c r="H135" s="7"/>
      <c r="J135" s="7"/>
      <c r="K135" s="4"/>
      <c r="L135" s="18"/>
      <c r="T135" s="76"/>
      <c r="U135" s="76"/>
      <c r="V135" s="78"/>
    </row>
    <row r="136" spans="1:22" ht="20.100000000000001" customHeight="1" x14ac:dyDescent="0.25">
      <c r="A136" s="22"/>
      <c r="B136" s="6"/>
      <c r="C136" s="18"/>
      <c r="D136" s="4"/>
      <c r="E136" s="4"/>
      <c r="F136" s="7"/>
      <c r="G136" s="40"/>
      <c r="H136" s="7"/>
      <c r="J136" s="7"/>
      <c r="K136" s="4"/>
      <c r="L136" s="18"/>
      <c r="T136" s="76"/>
      <c r="U136" s="76"/>
      <c r="V136" s="78"/>
    </row>
    <row r="137" spans="1:22" ht="20.100000000000001" customHeight="1" x14ac:dyDescent="0.25">
      <c r="A137" s="22"/>
      <c r="B137" s="6"/>
      <c r="C137" s="18"/>
      <c r="D137" s="4"/>
      <c r="E137" s="4"/>
      <c r="F137" s="7"/>
      <c r="G137" s="40"/>
      <c r="H137" s="7"/>
      <c r="J137" s="7"/>
      <c r="K137" s="4"/>
      <c r="L137" s="18"/>
      <c r="T137" s="76"/>
      <c r="U137" s="76"/>
      <c r="V137" s="78"/>
    </row>
    <row r="138" spans="1:22" ht="20.100000000000001" customHeight="1" x14ac:dyDescent="0.25">
      <c r="A138" s="22"/>
      <c r="B138" s="6"/>
      <c r="C138" s="18"/>
      <c r="D138" s="4"/>
      <c r="E138" s="4"/>
      <c r="F138" s="7"/>
      <c r="G138" s="40"/>
      <c r="H138" s="7"/>
      <c r="J138" s="7"/>
      <c r="K138" s="4"/>
      <c r="L138" s="18"/>
      <c r="T138" s="76"/>
      <c r="U138" s="76"/>
      <c r="V138" s="78"/>
    </row>
    <row r="139" spans="1:22" ht="20.100000000000001" customHeight="1" x14ac:dyDescent="0.25">
      <c r="A139" s="22"/>
      <c r="B139" s="6"/>
      <c r="C139" s="18"/>
      <c r="D139" s="4"/>
      <c r="E139" s="4"/>
      <c r="F139" s="7"/>
      <c r="G139" s="40"/>
      <c r="H139" s="7"/>
      <c r="J139" s="7"/>
      <c r="K139" s="4"/>
      <c r="L139" s="18"/>
      <c r="T139" s="76"/>
      <c r="U139" s="76"/>
      <c r="V139" s="78"/>
    </row>
    <row r="140" spans="1:22" ht="20.100000000000001" customHeight="1" x14ac:dyDescent="0.25">
      <c r="A140" s="22"/>
      <c r="B140" s="6"/>
      <c r="C140" s="18"/>
      <c r="D140" s="4"/>
      <c r="E140" s="4"/>
      <c r="F140" s="7"/>
      <c r="G140" s="40"/>
      <c r="H140" s="7"/>
      <c r="J140" s="7"/>
      <c r="K140" s="4"/>
      <c r="L140" s="18"/>
      <c r="T140" s="76"/>
      <c r="U140" s="76"/>
      <c r="V140" s="78"/>
    </row>
    <row r="141" spans="1:22" ht="20.100000000000001" customHeight="1" x14ac:dyDescent="0.25">
      <c r="A141" s="22"/>
      <c r="B141" s="6"/>
      <c r="C141" s="18"/>
      <c r="D141" s="4"/>
      <c r="E141" s="4"/>
      <c r="F141" s="7"/>
      <c r="G141" s="40"/>
      <c r="H141" s="7"/>
      <c r="J141" s="7"/>
      <c r="K141" s="4"/>
      <c r="L141" s="18"/>
      <c r="T141" s="76"/>
      <c r="U141" s="76"/>
      <c r="V141" s="78"/>
    </row>
    <row r="142" spans="1:22" ht="20.100000000000001" customHeight="1" x14ac:dyDescent="0.25">
      <c r="A142" s="22"/>
      <c r="B142" s="6"/>
      <c r="C142" s="18"/>
      <c r="D142" s="4"/>
      <c r="E142" s="4"/>
      <c r="F142" s="7"/>
      <c r="G142" s="40"/>
      <c r="H142" s="7"/>
      <c r="J142" s="7"/>
      <c r="K142" s="4"/>
      <c r="L142" s="18"/>
      <c r="T142" s="76"/>
      <c r="U142" s="76"/>
      <c r="V142" s="78"/>
    </row>
    <row r="143" spans="1:22" ht="20.100000000000001" customHeight="1" x14ac:dyDescent="0.25">
      <c r="A143" s="22"/>
      <c r="B143" s="6"/>
      <c r="C143" s="18"/>
      <c r="D143" s="4"/>
      <c r="E143" s="4"/>
      <c r="F143" s="7"/>
      <c r="G143" s="40"/>
      <c r="H143" s="7"/>
      <c r="J143" s="7"/>
      <c r="K143" s="4"/>
      <c r="L143" s="18"/>
      <c r="T143" s="76"/>
      <c r="U143" s="76"/>
      <c r="V143" s="78"/>
    </row>
    <row r="144" spans="1:22" ht="20.100000000000001" customHeight="1" x14ac:dyDescent="0.25">
      <c r="A144" s="22"/>
      <c r="B144" s="6"/>
      <c r="C144" s="18"/>
      <c r="D144" s="4"/>
      <c r="E144" s="4"/>
      <c r="F144" s="7"/>
      <c r="G144" s="40"/>
      <c r="H144" s="7"/>
      <c r="J144" s="7"/>
      <c r="K144" s="4"/>
      <c r="L144" s="18"/>
      <c r="T144" s="76"/>
      <c r="U144" s="76"/>
      <c r="V144" s="78"/>
    </row>
    <row r="145" spans="1:22" ht="20.100000000000001" customHeight="1" x14ac:dyDescent="0.25">
      <c r="A145" s="22"/>
      <c r="B145" s="6"/>
      <c r="C145" s="18"/>
      <c r="D145" s="4"/>
      <c r="E145" s="4"/>
      <c r="F145" s="7"/>
      <c r="G145" s="40"/>
      <c r="H145" s="7"/>
      <c r="J145" s="7"/>
      <c r="K145" s="4"/>
      <c r="L145" s="18"/>
      <c r="T145" s="76"/>
      <c r="U145" s="76"/>
      <c r="V145" s="78"/>
    </row>
    <row r="146" spans="1:22" ht="20.100000000000001" customHeight="1" x14ac:dyDescent="0.25">
      <c r="A146" s="22"/>
      <c r="B146" s="6"/>
      <c r="C146" s="18"/>
      <c r="D146" s="4"/>
      <c r="E146" s="4"/>
      <c r="F146" s="7"/>
      <c r="G146" s="40"/>
      <c r="H146" s="7"/>
      <c r="J146" s="7"/>
      <c r="K146" s="4"/>
      <c r="L146" s="18"/>
      <c r="T146" s="76"/>
      <c r="U146" s="76"/>
      <c r="V146" s="78"/>
    </row>
    <row r="147" spans="1:22" ht="20.100000000000001" customHeight="1" x14ac:dyDescent="0.25">
      <c r="A147" s="22"/>
      <c r="B147" s="6"/>
      <c r="C147" s="18"/>
      <c r="D147" s="4"/>
      <c r="E147" s="4"/>
      <c r="F147" s="7"/>
      <c r="G147" s="40"/>
      <c r="H147" s="7"/>
      <c r="J147" s="7"/>
      <c r="K147" s="4"/>
      <c r="L147" s="18"/>
      <c r="T147" s="76"/>
      <c r="U147" s="76"/>
      <c r="V147" s="78"/>
    </row>
    <row r="148" spans="1:22" ht="20.100000000000001" customHeight="1" x14ac:dyDescent="0.25">
      <c r="A148" s="22"/>
      <c r="B148" s="6"/>
      <c r="C148" s="18"/>
      <c r="D148" s="4"/>
      <c r="E148" s="4"/>
      <c r="F148" s="7"/>
      <c r="G148" s="40"/>
      <c r="H148" s="7"/>
      <c r="J148" s="7"/>
      <c r="K148" s="4"/>
      <c r="L148" s="18"/>
      <c r="T148" s="76"/>
      <c r="U148" s="76"/>
      <c r="V148" s="78"/>
    </row>
    <row r="149" spans="1:22" ht="20.100000000000001" customHeight="1" x14ac:dyDescent="0.25">
      <c r="A149" s="22"/>
      <c r="B149" s="23"/>
      <c r="C149" s="26"/>
      <c r="D149" s="4"/>
      <c r="E149" s="4"/>
      <c r="F149" s="7"/>
      <c r="G149" s="40"/>
      <c r="H149" s="7"/>
      <c r="J149" s="7"/>
      <c r="K149" s="4"/>
      <c r="L149" s="18"/>
      <c r="T149" s="76"/>
      <c r="U149" s="76"/>
      <c r="V149" s="78"/>
    </row>
    <row r="150" spans="1:22" ht="20.100000000000001" customHeight="1" x14ac:dyDescent="0.25">
      <c r="A150" s="22"/>
      <c r="B150" s="6"/>
      <c r="C150" s="18"/>
      <c r="D150" s="4"/>
      <c r="E150" s="4"/>
      <c r="F150" s="7"/>
      <c r="G150" s="40"/>
      <c r="H150" s="7"/>
      <c r="J150" s="7"/>
      <c r="K150" s="4"/>
      <c r="L150" s="18"/>
      <c r="T150" s="76"/>
      <c r="U150" s="76"/>
      <c r="V150" s="78"/>
    </row>
    <row r="151" spans="1:22" ht="20.100000000000001" customHeight="1" x14ac:dyDescent="0.25">
      <c r="A151" s="22"/>
      <c r="B151" s="6"/>
      <c r="C151" s="18"/>
      <c r="D151" s="4"/>
      <c r="E151" s="4"/>
      <c r="F151" s="7"/>
      <c r="G151" s="40"/>
      <c r="H151" s="7"/>
      <c r="J151" s="7"/>
      <c r="K151" s="4"/>
      <c r="L151" s="18"/>
      <c r="T151" s="76"/>
      <c r="U151" s="76"/>
      <c r="V151" s="78"/>
    </row>
    <row r="152" spans="1:22" ht="20.100000000000001" customHeight="1" x14ac:dyDescent="0.25">
      <c r="A152" s="22"/>
      <c r="B152" s="6"/>
      <c r="C152" s="18"/>
      <c r="D152" s="4"/>
      <c r="E152" s="4"/>
      <c r="F152" s="7"/>
      <c r="G152" s="40"/>
      <c r="H152" s="7"/>
      <c r="J152" s="7"/>
      <c r="K152" s="4"/>
      <c r="L152" s="18"/>
      <c r="T152" s="76"/>
      <c r="U152" s="76"/>
      <c r="V152" s="78"/>
    </row>
    <row r="153" spans="1:22" ht="20.100000000000001" customHeight="1" x14ac:dyDescent="0.25">
      <c r="A153" s="22"/>
      <c r="B153" s="6"/>
      <c r="C153" s="18"/>
      <c r="D153" s="4"/>
      <c r="E153" s="4"/>
      <c r="F153" s="7"/>
      <c r="G153" s="40"/>
      <c r="H153" s="7"/>
      <c r="J153" s="7"/>
      <c r="K153" s="4"/>
      <c r="L153" s="18"/>
      <c r="T153" s="76"/>
      <c r="U153" s="76"/>
      <c r="V153" s="78"/>
    </row>
    <row r="154" spans="1:22" ht="20.100000000000001" customHeight="1" x14ac:dyDescent="0.25">
      <c r="A154" s="22"/>
      <c r="B154" s="6"/>
      <c r="C154" s="18"/>
      <c r="D154" s="4"/>
      <c r="E154" s="4"/>
      <c r="F154" s="7"/>
      <c r="G154" s="40"/>
      <c r="H154" s="7"/>
      <c r="J154" s="7"/>
      <c r="K154" s="4"/>
      <c r="L154" s="18"/>
      <c r="T154" s="76"/>
      <c r="U154" s="76"/>
      <c r="V154" s="78"/>
    </row>
    <row r="155" spans="1:22" ht="20.100000000000001" customHeight="1" x14ac:dyDescent="0.25">
      <c r="A155" s="22"/>
      <c r="B155" s="6"/>
      <c r="C155" s="18"/>
      <c r="D155" s="4"/>
      <c r="E155" s="4"/>
      <c r="F155" s="7"/>
      <c r="G155" s="40"/>
      <c r="H155" s="7"/>
      <c r="J155" s="7"/>
      <c r="K155" s="4"/>
      <c r="L155" s="18"/>
      <c r="T155" s="76"/>
      <c r="U155" s="76"/>
      <c r="V155" s="78"/>
    </row>
    <row r="156" spans="1:22" ht="20.100000000000001" customHeight="1" x14ac:dyDescent="0.25">
      <c r="A156" s="22"/>
      <c r="B156" s="6"/>
      <c r="C156" s="18"/>
      <c r="D156" s="4"/>
      <c r="E156" s="4"/>
      <c r="F156" s="7"/>
      <c r="G156" s="40"/>
      <c r="H156" s="7"/>
      <c r="J156" s="7"/>
      <c r="K156" s="4"/>
      <c r="L156" s="18"/>
      <c r="T156" s="76"/>
      <c r="U156" s="76"/>
      <c r="V156" s="78"/>
    </row>
    <row r="157" spans="1:22" ht="20.100000000000001" customHeight="1" x14ac:dyDescent="0.25">
      <c r="A157" s="22"/>
      <c r="B157" s="6"/>
      <c r="C157" s="18"/>
      <c r="D157" s="4"/>
      <c r="E157" s="4"/>
      <c r="F157" s="7"/>
      <c r="G157" s="40"/>
      <c r="H157" s="7"/>
      <c r="J157" s="7"/>
      <c r="K157" s="4"/>
      <c r="L157" s="18"/>
      <c r="T157" s="76"/>
      <c r="U157" s="76"/>
      <c r="V157" s="78"/>
    </row>
    <row r="158" spans="1:22" ht="20.100000000000001" customHeight="1" x14ac:dyDescent="0.25">
      <c r="A158" s="22"/>
      <c r="B158" s="6"/>
      <c r="C158" s="18"/>
      <c r="D158" s="4"/>
      <c r="E158" s="4"/>
      <c r="F158" s="7"/>
      <c r="G158" s="40"/>
      <c r="H158" s="7"/>
      <c r="J158" s="7"/>
      <c r="K158" s="4"/>
      <c r="L158" s="18"/>
      <c r="T158" s="76"/>
      <c r="U158" s="76"/>
      <c r="V158" s="78"/>
    </row>
    <row r="159" spans="1:22" ht="20.100000000000001" customHeight="1" x14ac:dyDescent="0.25">
      <c r="A159" s="22"/>
      <c r="B159" s="6"/>
      <c r="C159" s="18"/>
      <c r="D159" s="4"/>
      <c r="E159" s="4"/>
      <c r="F159" s="7"/>
      <c r="G159" s="40"/>
      <c r="H159" s="7"/>
      <c r="J159" s="7"/>
      <c r="K159" s="4"/>
      <c r="L159" s="18"/>
      <c r="T159" s="76"/>
      <c r="U159" s="76"/>
      <c r="V159" s="78"/>
    </row>
    <row r="160" spans="1:22" ht="20.100000000000001" customHeight="1" x14ac:dyDescent="0.25">
      <c r="A160" s="22"/>
      <c r="B160" s="6"/>
      <c r="C160" s="18"/>
      <c r="D160" s="4"/>
      <c r="E160" s="4"/>
      <c r="F160" s="7"/>
      <c r="G160" s="40"/>
      <c r="H160" s="7"/>
      <c r="J160" s="7"/>
      <c r="K160" s="4"/>
      <c r="L160" s="18"/>
      <c r="T160" s="76"/>
      <c r="U160" s="76"/>
      <c r="V160" s="78"/>
    </row>
    <row r="161" spans="1:22" ht="20.100000000000001" customHeight="1" x14ac:dyDescent="0.25">
      <c r="A161" s="22"/>
      <c r="B161" s="6"/>
      <c r="C161" s="18"/>
      <c r="D161" s="4"/>
      <c r="E161" s="4"/>
      <c r="F161" s="7"/>
      <c r="G161" s="40"/>
      <c r="H161" s="7"/>
      <c r="J161" s="7"/>
      <c r="K161" s="4"/>
      <c r="L161" s="18"/>
      <c r="T161" s="76"/>
      <c r="U161" s="76"/>
      <c r="V161" s="78"/>
    </row>
    <row r="162" spans="1:22" ht="20.100000000000001" customHeight="1" x14ac:dyDescent="0.25">
      <c r="A162" s="22"/>
      <c r="B162" s="6"/>
      <c r="C162" s="18"/>
      <c r="D162" s="4"/>
      <c r="E162" s="4"/>
      <c r="F162" s="7"/>
      <c r="G162" s="40"/>
      <c r="H162" s="7"/>
      <c r="J162" s="7"/>
      <c r="K162" s="4"/>
      <c r="L162" s="18"/>
      <c r="T162" s="76"/>
      <c r="U162" s="76"/>
      <c r="V162" s="78"/>
    </row>
    <row r="163" spans="1:22" ht="20.100000000000001" customHeight="1" x14ac:dyDescent="0.25">
      <c r="A163" s="22"/>
      <c r="B163" s="6"/>
      <c r="C163" s="18"/>
      <c r="D163" s="4"/>
      <c r="E163" s="4"/>
      <c r="F163" s="7"/>
      <c r="G163" s="40"/>
      <c r="H163" s="7"/>
      <c r="J163" s="7"/>
      <c r="K163" s="4"/>
      <c r="L163" s="18"/>
      <c r="T163" s="76"/>
      <c r="U163" s="76"/>
      <c r="V163" s="78"/>
    </row>
    <row r="164" spans="1:22" ht="20.100000000000001" customHeight="1" x14ac:dyDescent="0.25">
      <c r="A164" s="22"/>
      <c r="B164" s="23"/>
      <c r="C164" s="26"/>
      <c r="D164" s="4"/>
      <c r="E164" s="4"/>
      <c r="F164" s="7"/>
      <c r="G164" s="40"/>
      <c r="H164" s="7"/>
      <c r="J164" s="7"/>
      <c r="K164" s="4"/>
      <c r="L164" s="18"/>
      <c r="T164" s="76"/>
      <c r="U164" s="76"/>
      <c r="V164" s="78"/>
    </row>
    <row r="165" spans="1:22" ht="20.100000000000001" customHeight="1" x14ac:dyDescent="0.25">
      <c r="A165" s="17"/>
      <c r="B165" s="6"/>
      <c r="C165" s="4"/>
      <c r="D165" s="4"/>
      <c r="E165" s="4"/>
      <c r="F165" s="7"/>
      <c r="G165" s="40"/>
      <c r="H165" s="7"/>
      <c r="J165" s="7"/>
      <c r="K165" s="4"/>
      <c r="L165" s="18"/>
      <c r="T165" s="76"/>
      <c r="U165" s="76"/>
      <c r="V165" s="78"/>
    </row>
    <row r="166" spans="1:22" ht="20.100000000000001" customHeight="1" x14ac:dyDescent="0.25">
      <c r="A166" s="17"/>
      <c r="B166" s="6"/>
      <c r="C166" s="4"/>
      <c r="D166" s="4"/>
      <c r="E166" s="4"/>
      <c r="F166" s="7"/>
      <c r="G166" s="40"/>
      <c r="H166" s="7"/>
      <c r="J166" s="7"/>
      <c r="K166" s="4"/>
      <c r="L166" s="18"/>
      <c r="T166" s="76"/>
      <c r="U166" s="76"/>
      <c r="V166" s="78"/>
    </row>
    <row r="167" spans="1:22" ht="20.100000000000001" customHeight="1" x14ac:dyDescent="0.25">
      <c r="A167" s="17"/>
      <c r="B167" s="6"/>
      <c r="C167" s="4"/>
      <c r="D167" s="4"/>
      <c r="E167" s="4"/>
      <c r="F167" s="7"/>
      <c r="G167" s="40"/>
      <c r="H167" s="7"/>
      <c r="J167" s="7"/>
      <c r="K167" s="4"/>
      <c r="L167" s="18"/>
      <c r="T167" s="76"/>
      <c r="U167" s="76"/>
      <c r="V167" s="78"/>
    </row>
    <row r="168" spans="1:22" ht="20.100000000000001" customHeight="1" x14ac:dyDescent="0.25">
      <c r="A168" s="17"/>
      <c r="B168" s="6"/>
      <c r="C168" s="4"/>
      <c r="D168" s="4"/>
      <c r="E168" s="4"/>
      <c r="F168" s="7"/>
      <c r="G168" s="40"/>
      <c r="H168" s="7"/>
      <c r="J168" s="7"/>
      <c r="K168" s="4"/>
      <c r="L168" s="18"/>
      <c r="T168" s="76"/>
      <c r="U168" s="76"/>
      <c r="V168" s="78"/>
    </row>
    <row r="169" spans="1:22" ht="20.100000000000001" customHeight="1" x14ac:dyDescent="0.25">
      <c r="A169" s="17"/>
      <c r="B169" s="6"/>
      <c r="C169" s="4"/>
      <c r="D169" s="4"/>
      <c r="E169" s="4"/>
      <c r="F169" s="7"/>
      <c r="G169" s="40"/>
      <c r="H169" s="7"/>
      <c r="J169" s="7"/>
      <c r="K169" s="4"/>
      <c r="L169" s="18"/>
      <c r="T169" s="76"/>
      <c r="U169" s="76"/>
      <c r="V169" s="78"/>
    </row>
    <row r="170" spans="1:22" ht="20.100000000000001" customHeight="1" x14ac:dyDescent="0.25">
      <c r="A170" s="17"/>
      <c r="B170" s="6"/>
      <c r="C170" s="4"/>
      <c r="D170" s="4"/>
      <c r="E170" s="4"/>
      <c r="F170" s="7"/>
      <c r="G170" s="40"/>
      <c r="H170" s="7"/>
      <c r="J170" s="7"/>
      <c r="K170" s="4"/>
      <c r="L170" s="18"/>
      <c r="T170" s="76"/>
      <c r="U170" s="76"/>
      <c r="V170" s="78"/>
    </row>
    <row r="171" spans="1:22" ht="20.100000000000001" customHeight="1" x14ac:dyDescent="0.25">
      <c r="A171" s="17"/>
      <c r="B171" s="6"/>
      <c r="C171" s="4"/>
      <c r="D171" s="4"/>
      <c r="E171" s="4"/>
      <c r="F171" s="7"/>
      <c r="G171" s="40"/>
      <c r="H171" s="7"/>
      <c r="J171" s="7"/>
      <c r="K171" s="4"/>
      <c r="L171" s="18"/>
      <c r="T171" s="76"/>
      <c r="U171" s="76"/>
      <c r="V171" s="78"/>
    </row>
    <row r="172" spans="1:22" ht="20.100000000000001" customHeight="1" x14ac:dyDescent="0.25">
      <c r="A172" s="17"/>
      <c r="B172" s="6"/>
      <c r="C172" s="4"/>
      <c r="D172" s="4"/>
      <c r="E172" s="4"/>
      <c r="F172" s="7"/>
      <c r="G172" s="40"/>
      <c r="H172" s="7"/>
      <c r="J172" s="7"/>
      <c r="K172" s="4"/>
      <c r="L172" s="18"/>
      <c r="T172" s="76"/>
      <c r="U172" s="76"/>
      <c r="V172" s="78"/>
    </row>
    <row r="173" spans="1:22" ht="20.100000000000001" customHeight="1" x14ac:dyDescent="0.25">
      <c r="A173" s="17"/>
      <c r="B173" s="6"/>
      <c r="C173" s="4"/>
      <c r="D173" s="4"/>
      <c r="E173" s="4"/>
      <c r="F173" s="7"/>
      <c r="G173" s="40"/>
      <c r="H173" s="7"/>
      <c r="J173" s="7"/>
      <c r="K173" s="4"/>
      <c r="L173" s="18"/>
      <c r="T173" s="76"/>
      <c r="U173" s="76"/>
      <c r="V173" s="78"/>
    </row>
    <row r="174" spans="1:22" ht="20.100000000000001" customHeight="1" x14ac:dyDescent="0.25">
      <c r="A174" s="17"/>
      <c r="B174" s="6"/>
      <c r="C174" s="4"/>
      <c r="D174" s="4"/>
      <c r="E174" s="4"/>
      <c r="F174" s="7"/>
      <c r="G174" s="40"/>
      <c r="H174" s="7"/>
      <c r="J174" s="7"/>
      <c r="K174" s="4"/>
      <c r="L174" s="18"/>
      <c r="T174" s="76"/>
      <c r="U174" s="76"/>
      <c r="V174" s="78"/>
    </row>
    <row r="175" spans="1:22" ht="20.100000000000001" customHeight="1" x14ac:dyDescent="0.25">
      <c r="A175" s="17"/>
      <c r="B175" s="6"/>
      <c r="C175" s="4"/>
      <c r="D175" s="4"/>
      <c r="E175" s="4"/>
      <c r="F175" s="7"/>
      <c r="G175" s="40"/>
      <c r="H175" s="7"/>
      <c r="J175" s="7"/>
      <c r="K175" s="4"/>
      <c r="L175" s="18"/>
      <c r="T175" s="76"/>
      <c r="U175" s="76"/>
      <c r="V175" s="78"/>
    </row>
    <row r="176" spans="1:22" ht="20.100000000000001" customHeight="1" x14ac:dyDescent="0.25">
      <c r="A176" s="22"/>
      <c r="B176" s="23"/>
      <c r="C176" s="4"/>
      <c r="D176" s="4"/>
      <c r="E176" s="4"/>
      <c r="F176" s="7"/>
      <c r="G176" s="40"/>
      <c r="H176" s="7"/>
      <c r="J176" s="7"/>
      <c r="K176" s="4"/>
      <c r="L176" s="18"/>
      <c r="T176" s="76"/>
      <c r="U176" s="76"/>
      <c r="V176" s="78"/>
    </row>
    <row r="177" spans="1:22" ht="20.100000000000001" customHeight="1" x14ac:dyDescent="0.25">
      <c r="A177" s="79"/>
      <c r="B177" s="80"/>
      <c r="C177" s="17"/>
      <c r="D177" s="4"/>
      <c r="E177" s="4"/>
      <c r="F177" s="7"/>
      <c r="G177" s="40"/>
      <c r="H177" s="7"/>
      <c r="J177" s="7"/>
      <c r="K177" s="4"/>
      <c r="L177" s="18"/>
      <c r="T177" s="76"/>
      <c r="U177" s="76"/>
      <c r="V177" s="78"/>
    </row>
    <row r="178" spans="1:22" ht="20.100000000000001" customHeight="1" x14ac:dyDescent="0.25">
      <c r="A178" s="79"/>
      <c r="B178" s="80"/>
      <c r="C178" s="17"/>
      <c r="D178" s="4"/>
      <c r="E178" s="4"/>
      <c r="F178" s="7"/>
      <c r="G178" s="40"/>
      <c r="H178" s="7"/>
      <c r="J178" s="7"/>
      <c r="K178" s="4"/>
      <c r="L178" s="18"/>
      <c r="T178" s="76"/>
      <c r="U178" s="76"/>
      <c r="V178" s="78"/>
    </row>
    <row r="179" spans="1:22" ht="20.100000000000001" customHeight="1" x14ac:dyDescent="0.25">
      <c r="A179" s="79"/>
      <c r="B179" s="80"/>
      <c r="C179" s="17"/>
      <c r="D179" s="4"/>
      <c r="E179" s="4"/>
      <c r="F179" s="7"/>
      <c r="G179" s="40"/>
      <c r="H179" s="7"/>
      <c r="J179" s="7"/>
      <c r="K179" s="4"/>
      <c r="L179" s="18"/>
      <c r="T179" s="76"/>
      <c r="U179" s="76"/>
      <c r="V179" s="78"/>
    </row>
    <row r="180" spans="1:22" ht="20.100000000000001" customHeight="1" x14ac:dyDescent="0.25">
      <c r="A180" s="79"/>
      <c r="B180" s="80"/>
      <c r="C180" s="17"/>
      <c r="D180" s="4"/>
      <c r="E180" s="4"/>
      <c r="F180" s="7"/>
      <c r="G180" s="40"/>
      <c r="H180" s="7"/>
      <c r="J180" s="7"/>
      <c r="K180" s="4"/>
      <c r="L180" s="18"/>
      <c r="T180" s="76"/>
      <c r="U180" s="76"/>
      <c r="V180" s="78"/>
    </row>
    <row r="181" spans="1:22" ht="20.100000000000001" customHeight="1" x14ac:dyDescent="0.25">
      <c r="A181" s="79"/>
      <c r="B181" s="80"/>
      <c r="C181" s="17"/>
      <c r="D181" s="4"/>
      <c r="E181" s="4"/>
      <c r="F181" s="25"/>
      <c r="G181" s="41"/>
      <c r="H181" s="25"/>
      <c r="J181" s="25"/>
      <c r="K181" s="24"/>
      <c r="L181" s="26"/>
      <c r="T181" s="76"/>
      <c r="U181" s="76"/>
      <c r="V181" s="78"/>
    </row>
    <row r="182" spans="1:22" ht="20.100000000000001" customHeight="1" x14ac:dyDescent="0.25">
      <c r="A182" s="79"/>
      <c r="B182" s="80"/>
      <c r="C182" s="22"/>
      <c r="D182" s="24"/>
      <c r="E182" s="24"/>
      <c r="M182" s="4"/>
    </row>
    <row r="183" spans="1:22" ht="20.100000000000001" customHeight="1" x14ac:dyDescent="0.25">
      <c r="A183" s="79"/>
      <c r="B183" s="79"/>
      <c r="M183" s="4"/>
    </row>
    <row r="184" spans="1:22" ht="20.100000000000001" customHeight="1" x14ac:dyDescent="0.25">
      <c r="A184" s="79"/>
      <c r="B184" s="79"/>
      <c r="L184" s="16"/>
      <c r="M184" s="4"/>
    </row>
    <row r="185" spans="1:22" ht="20.100000000000001" customHeight="1" x14ac:dyDescent="0.25">
      <c r="A185" s="79"/>
      <c r="B185" s="79"/>
      <c r="M185" s="4"/>
    </row>
    <row r="186" spans="1:22" ht="20.100000000000001" customHeight="1" x14ac:dyDescent="0.25">
      <c r="A186" s="79"/>
      <c r="B186" s="79"/>
      <c r="F186" s="15"/>
      <c r="G186" s="15"/>
      <c r="H186" s="15"/>
      <c r="J186" s="15"/>
      <c r="K186" s="15"/>
      <c r="L186" s="15"/>
      <c r="M186" s="4"/>
    </row>
    <row r="187" spans="1:22" ht="20.100000000000001" customHeight="1" x14ac:dyDescent="0.25">
      <c r="A187" s="79"/>
      <c r="B187" s="79"/>
      <c r="C187" s="15"/>
      <c r="D187" s="15"/>
      <c r="E187" s="15"/>
      <c r="M187" s="4"/>
    </row>
    <row r="188" spans="1:22" ht="20.100000000000001" customHeight="1" x14ac:dyDescent="0.25">
      <c r="A188" s="79"/>
      <c r="B188" s="79"/>
      <c r="M188" s="4"/>
    </row>
    <row r="189" spans="1:22" ht="20.100000000000001" customHeight="1" x14ac:dyDescent="0.25">
      <c r="A189" s="79"/>
      <c r="B189" s="79"/>
      <c r="M189" s="4"/>
    </row>
    <row r="190" spans="1:22" ht="20.100000000000001" customHeight="1" x14ac:dyDescent="0.25">
      <c r="A190" s="79"/>
      <c r="B190" s="79"/>
      <c r="M190" s="4"/>
    </row>
    <row r="191" spans="1:22" ht="20.100000000000001" customHeight="1" x14ac:dyDescent="0.25">
      <c r="A191" s="79"/>
      <c r="B191" s="79"/>
      <c r="M191" s="4"/>
    </row>
    <row r="192" spans="1:22" ht="20.100000000000001" customHeight="1" x14ac:dyDescent="0.25">
      <c r="A192" s="79"/>
      <c r="B192" s="79"/>
      <c r="M192" s="4"/>
    </row>
    <row r="193" spans="13:13" ht="20.100000000000001" customHeight="1" x14ac:dyDescent="0.25">
      <c r="M193" s="4"/>
    </row>
    <row r="194" spans="13:13" ht="20.100000000000001" customHeight="1" x14ac:dyDescent="0.25">
      <c r="M194" s="4"/>
    </row>
    <row r="195" spans="13:13" ht="20.100000000000001" customHeight="1" x14ac:dyDescent="0.25">
      <c r="M195" s="4"/>
    </row>
    <row r="196" spans="13:13" ht="20.100000000000001" customHeight="1" x14ac:dyDescent="0.25">
      <c r="M196" s="4"/>
    </row>
    <row r="197" spans="13:13" ht="20.100000000000001" customHeight="1" x14ac:dyDescent="0.25">
      <c r="M197" s="4"/>
    </row>
    <row r="198" spans="13:13" ht="20.100000000000001" customHeight="1" x14ac:dyDescent="0.25">
      <c r="M198" s="4"/>
    </row>
    <row r="199" spans="13:13" ht="20.100000000000001" customHeight="1" x14ac:dyDescent="0.25">
      <c r="M199" s="4"/>
    </row>
    <row r="200" spans="13:13" ht="20.100000000000001" customHeight="1" x14ac:dyDescent="0.25">
      <c r="M200" s="4"/>
    </row>
    <row r="201" spans="13:13" ht="20.100000000000001" customHeight="1" x14ac:dyDescent="0.25">
      <c r="M201" s="4"/>
    </row>
    <row r="202" spans="13:13" ht="20.100000000000001" customHeight="1" x14ac:dyDescent="0.25">
      <c r="M202" s="4"/>
    </row>
    <row r="203" spans="13:13" ht="20.100000000000001" customHeight="1" x14ac:dyDescent="0.25">
      <c r="M203" s="4"/>
    </row>
    <row r="204" spans="13:13" ht="20.100000000000001" customHeight="1" x14ac:dyDescent="0.25">
      <c r="M204" s="4"/>
    </row>
    <row r="205" spans="13:13" ht="20.100000000000001" customHeight="1" x14ac:dyDescent="0.25">
      <c r="M205" s="4"/>
    </row>
    <row r="206" spans="13:13" ht="20.100000000000001" customHeight="1" x14ac:dyDescent="0.25">
      <c r="M206" s="4"/>
    </row>
    <row r="207" spans="13:13" ht="20.100000000000001" customHeight="1" x14ac:dyDescent="0.25">
      <c r="M207" s="4"/>
    </row>
    <row r="208" spans="13:13" ht="20.100000000000001" customHeight="1" x14ac:dyDescent="0.25">
      <c r="M208" s="4"/>
    </row>
    <row r="209" spans="13:13" ht="20.100000000000001" customHeight="1" x14ac:dyDescent="0.25">
      <c r="M209" s="4"/>
    </row>
    <row r="210" spans="13:13" ht="20.100000000000001" customHeight="1" x14ac:dyDescent="0.25">
      <c r="M210" s="4"/>
    </row>
    <row r="211" spans="13:13" ht="20.100000000000001" customHeight="1" x14ac:dyDescent="0.25">
      <c r="M211" s="4"/>
    </row>
    <row r="212" spans="13:13" ht="20.100000000000001" customHeight="1" x14ac:dyDescent="0.25">
      <c r="M212" s="4"/>
    </row>
    <row r="213" spans="13:13" ht="20.100000000000001" customHeight="1" x14ac:dyDescent="0.25">
      <c r="M213" s="4"/>
    </row>
    <row r="214" spans="13:13" ht="20.100000000000001" customHeight="1" x14ac:dyDescent="0.25">
      <c r="M214" s="4"/>
    </row>
    <row r="215" spans="13:13" ht="20.100000000000001" customHeight="1" x14ac:dyDescent="0.25">
      <c r="M215" s="4"/>
    </row>
    <row r="216" spans="13:13" ht="20.100000000000001" customHeight="1" x14ac:dyDescent="0.25">
      <c r="M216" s="4"/>
    </row>
    <row r="217" spans="13:13" ht="20.100000000000001" customHeight="1" x14ac:dyDescent="0.25">
      <c r="M217" s="4"/>
    </row>
    <row r="218" spans="13:13" ht="20.100000000000001" customHeight="1" x14ac:dyDescent="0.25">
      <c r="M218" s="4"/>
    </row>
    <row r="219" spans="13:13" ht="20.100000000000001" customHeight="1" x14ac:dyDescent="0.25">
      <c r="M219" s="4"/>
    </row>
    <row r="220" spans="13:13" ht="20.100000000000001" customHeight="1" x14ac:dyDescent="0.25">
      <c r="M220" s="4"/>
    </row>
    <row r="221" spans="13:13" ht="20.100000000000001" customHeight="1" x14ac:dyDescent="0.25">
      <c r="M221" s="4"/>
    </row>
    <row r="222" spans="13:13" ht="20.100000000000001" customHeight="1" x14ac:dyDescent="0.25">
      <c r="M222" s="4"/>
    </row>
    <row r="223" spans="13:13" ht="20.100000000000001" customHeight="1" x14ac:dyDescent="0.25">
      <c r="M223" s="4"/>
    </row>
    <row r="224" spans="13:13" ht="20.100000000000001" customHeight="1" x14ac:dyDescent="0.25">
      <c r="M224" s="4"/>
    </row>
    <row r="225" spans="13:13" ht="20.100000000000001" customHeight="1" x14ac:dyDescent="0.25">
      <c r="M225" s="4"/>
    </row>
    <row r="226" spans="13:13" ht="20.100000000000001" customHeight="1" x14ac:dyDescent="0.25">
      <c r="M226" s="4"/>
    </row>
  </sheetData>
  <conditionalFormatting sqref="F186:H186 A187:E187 J186:L186">
    <cfRule type="cellIs" dxfId="2" priority="1" operator="notEqual">
      <formula>0</formula>
    </cfRule>
  </conditionalFormatting>
  <pageMargins left="0.75" right="0.75" top="1" bottom="1" header="0.5" footer="0.5"/>
  <drawing r:id="rId5"/>
  <tableParts count="5">
    <tablePart r:id="rId6"/>
    <tablePart r:id="rId7"/>
    <tablePart r:id="rId8"/>
    <tablePart r:id="rId9"/>
    <tablePart r:id="rId10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4"/>
  <sheetViews>
    <sheetView showGridLines="0" topLeftCell="K1" workbookViewId="0">
      <pane ySplit="1" topLeftCell="A134" activePane="bottomLeft" state="frozen"/>
      <selection pane="bottomLeft" activeCell="W138" sqref="L138:W138"/>
    </sheetView>
  </sheetViews>
  <sheetFormatPr defaultRowHeight="15" x14ac:dyDescent="0.25"/>
  <cols>
    <col min="1" max="1" width="12" customWidth="1"/>
    <col min="2" max="2" width="21" customWidth="1"/>
    <col min="3" max="3" width="14.85546875" customWidth="1"/>
    <col min="4" max="4" width="14.5703125" customWidth="1"/>
    <col min="5" max="5" width="12.85546875" customWidth="1"/>
    <col min="6" max="7" width="12" customWidth="1"/>
    <col min="8" max="8" width="15.85546875" customWidth="1"/>
    <col min="9" max="9" width="15.140625" customWidth="1"/>
    <col min="10" max="10" width="12" customWidth="1"/>
    <col min="11" max="11" width="14" customWidth="1"/>
    <col min="12" max="12" width="14.7109375" customWidth="1"/>
    <col min="13" max="13" width="15.28515625" customWidth="1"/>
    <col min="14" max="14" width="12.28515625" customWidth="1"/>
    <col min="15" max="15" width="21" customWidth="1"/>
    <col min="16" max="16" width="18" customWidth="1"/>
    <col min="17" max="17" width="28" customWidth="1"/>
    <col min="18" max="18" width="16.140625" customWidth="1"/>
    <col min="19" max="19" width="21" customWidth="1"/>
    <col min="20" max="20" width="14" customWidth="1"/>
    <col min="21" max="22" width="12" customWidth="1"/>
    <col min="23" max="23" width="18.28515625" customWidth="1"/>
    <col min="24" max="24" width="21" customWidth="1"/>
  </cols>
  <sheetData>
    <row r="1" spans="1:24" ht="23.25" customHeight="1" x14ac:dyDescent="0.25">
      <c r="A1" s="19" t="s">
        <v>18</v>
      </c>
      <c r="B1" s="20" t="s">
        <v>19</v>
      </c>
      <c r="C1" s="20" t="s">
        <v>20</v>
      </c>
      <c r="D1" s="20" t="s">
        <v>21</v>
      </c>
      <c r="E1" s="20" t="s">
        <v>22</v>
      </c>
      <c r="F1" s="20" t="s">
        <v>23</v>
      </c>
      <c r="G1" s="20" t="s">
        <v>24</v>
      </c>
      <c r="H1" s="20" t="s">
        <v>25</v>
      </c>
      <c r="I1" s="20" t="s">
        <v>26</v>
      </c>
      <c r="J1" s="20" t="s">
        <v>27</v>
      </c>
      <c r="K1" s="69" t="s">
        <v>28</v>
      </c>
      <c r="L1" s="20" t="s">
        <v>29</v>
      </c>
      <c r="M1" s="20" t="s">
        <v>656</v>
      </c>
      <c r="N1" s="20" t="s">
        <v>657</v>
      </c>
      <c r="O1" s="20" t="s">
        <v>479</v>
      </c>
      <c r="P1" s="20" t="s">
        <v>480</v>
      </c>
      <c r="Q1" s="20" t="s">
        <v>389</v>
      </c>
      <c r="R1" s="20" t="s">
        <v>392</v>
      </c>
      <c r="S1" s="20" t="s">
        <v>451</v>
      </c>
      <c r="T1" s="20" t="s">
        <v>452</v>
      </c>
      <c r="U1" s="20" t="s">
        <v>453</v>
      </c>
      <c r="V1" s="20" t="s">
        <v>454</v>
      </c>
      <c r="W1" s="20" t="s">
        <v>658</v>
      </c>
      <c r="X1" s="21" t="s">
        <v>659</v>
      </c>
    </row>
    <row r="2" spans="1:24" x14ac:dyDescent="0.25">
      <c r="A2" s="17" t="s">
        <v>30</v>
      </c>
      <c r="B2" s="6">
        <v>45792</v>
      </c>
      <c r="C2" s="4" t="s">
        <v>31</v>
      </c>
      <c r="D2" s="4" t="s">
        <v>136</v>
      </c>
      <c r="E2" s="4" t="s">
        <v>33</v>
      </c>
      <c r="F2" s="7">
        <v>5</v>
      </c>
      <c r="G2" s="7">
        <v>0.12</v>
      </c>
      <c r="H2" s="7">
        <v>15840</v>
      </c>
      <c r="I2" s="4">
        <v>12000</v>
      </c>
      <c r="J2" s="7">
        <v>3840</v>
      </c>
      <c r="K2" s="4" t="s">
        <v>34</v>
      </c>
      <c r="L2" s="4" t="s">
        <v>35</v>
      </c>
      <c r="M2" s="4" t="s">
        <v>34</v>
      </c>
      <c r="N2" s="7">
        <v>15840</v>
      </c>
      <c r="O2" s="4" t="s">
        <v>569</v>
      </c>
      <c r="P2" s="4" t="s">
        <v>478</v>
      </c>
      <c r="Q2" s="4" t="s">
        <v>418</v>
      </c>
      <c r="R2" s="4" t="s">
        <v>402</v>
      </c>
      <c r="S2" s="4" t="s">
        <v>475</v>
      </c>
      <c r="T2" s="4" t="s">
        <v>460</v>
      </c>
      <c r="U2" s="4">
        <v>2400</v>
      </c>
      <c r="V2" s="4">
        <v>3600</v>
      </c>
      <c r="W2" s="7">
        <v>15840</v>
      </c>
      <c r="X2" s="58">
        <v>0.2424242424242424</v>
      </c>
    </row>
    <row r="3" spans="1:24" x14ac:dyDescent="0.25">
      <c r="A3" s="17" t="s">
        <v>36</v>
      </c>
      <c r="B3" s="6">
        <v>45774</v>
      </c>
      <c r="C3" s="4" t="s">
        <v>367</v>
      </c>
      <c r="D3" s="4" t="s">
        <v>38</v>
      </c>
      <c r="E3" s="4" t="s">
        <v>33</v>
      </c>
      <c r="F3" s="7">
        <v>8</v>
      </c>
      <c r="G3" s="7">
        <v>0</v>
      </c>
      <c r="H3" s="7">
        <v>28800</v>
      </c>
      <c r="I3" s="4">
        <v>19200</v>
      </c>
      <c r="J3" s="7">
        <v>9600</v>
      </c>
      <c r="K3" s="4" t="s">
        <v>39</v>
      </c>
      <c r="L3" s="4" t="s">
        <v>35</v>
      </c>
      <c r="M3" s="4" t="s">
        <v>39</v>
      </c>
      <c r="N3" s="7">
        <v>28800</v>
      </c>
      <c r="O3" s="4" t="s">
        <v>536</v>
      </c>
      <c r="P3" s="4" t="s">
        <v>535</v>
      </c>
      <c r="Q3" s="4" t="s">
        <v>427</v>
      </c>
      <c r="R3" s="4" t="s">
        <v>399</v>
      </c>
      <c r="S3" s="4" t="s">
        <v>475</v>
      </c>
      <c r="T3" s="4" t="s">
        <v>460</v>
      </c>
      <c r="U3" s="4">
        <v>2400</v>
      </c>
      <c r="V3" s="4">
        <v>3600</v>
      </c>
      <c r="W3" s="7">
        <v>28800</v>
      </c>
      <c r="X3" s="58">
        <v>0.33333333333333331</v>
      </c>
    </row>
    <row r="4" spans="1:24" x14ac:dyDescent="0.25">
      <c r="A4" s="17" t="s">
        <v>40</v>
      </c>
      <c r="B4" s="6">
        <v>45820</v>
      </c>
      <c r="C4" s="4" t="s">
        <v>41</v>
      </c>
      <c r="D4" s="4" t="s">
        <v>42</v>
      </c>
      <c r="E4" s="4" t="s">
        <v>43</v>
      </c>
      <c r="F4" s="7">
        <v>17</v>
      </c>
      <c r="G4" s="7">
        <v>0.05</v>
      </c>
      <c r="H4" s="7">
        <v>30685</v>
      </c>
      <c r="I4" s="4">
        <v>20400</v>
      </c>
      <c r="J4" s="7">
        <v>10285</v>
      </c>
      <c r="K4" s="4" t="s">
        <v>44</v>
      </c>
      <c r="L4" s="4" t="s">
        <v>45</v>
      </c>
      <c r="M4" s="4" t="s">
        <v>44</v>
      </c>
      <c r="N4" s="7">
        <v>30685</v>
      </c>
      <c r="O4" s="4" t="s">
        <v>534</v>
      </c>
      <c r="P4" s="4" t="s">
        <v>535</v>
      </c>
      <c r="Q4" s="4" t="s">
        <v>440</v>
      </c>
      <c r="R4" s="4" t="s">
        <v>395</v>
      </c>
      <c r="S4" s="4" t="s">
        <v>468</v>
      </c>
      <c r="T4" s="4" t="s">
        <v>460</v>
      </c>
      <c r="U4" s="4">
        <v>1200</v>
      </c>
      <c r="V4" s="4">
        <v>1900</v>
      </c>
      <c r="W4" s="7">
        <v>30685</v>
      </c>
      <c r="X4" s="58">
        <v>0.33518005540166212</v>
      </c>
    </row>
    <row r="5" spans="1:24" x14ac:dyDescent="0.25">
      <c r="A5" s="17" t="s">
        <v>46</v>
      </c>
      <c r="B5" s="6">
        <v>45779</v>
      </c>
      <c r="C5" s="4" t="s">
        <v>47</v>
      </c>
      <c r="D5" s="4" t="s">
        <v>48</v>
      </c>
      <c r="E5" s="4" t="s">
        <v>49</v>
      </c>
      <c r="F5" s="7">
        <v>6</v>
      </c>
      <c r="G5" s="7">
        <v>0.12</v>
      </c>
      <c r="H5" s="7">
        <v>25344</v>
      </c>
      <c r="I5" s="4">
        <v>19200</v>
      </c>
      <c r="J5" s="7">
        <v>6144</v>
      </c>
      <c r="K5" s="4" t="s">
        <v>39</v>
      </c>
      <c r="L5" s="4" t="s">
        <v>35</v>
      </c>
      <c r="M5" s="4" t="s">
        <v>39</v>
      </c>
      <c r="N5" s="7">
        <v>25344</v>
      </c>
      <c r="O5" s="4" t="s">
        <v>581</v>
      </c>
      <c r="P5" s="4" t="s">
        <v>579</v>
      </c>
      <c r="Q5" s="4" t="s">
        <v>424</v>
      </c>
      <c r="R5" s="4" t="s">
        <v>402</v>
      </c>
      <c r="S5" s="4" t="s">
        <v>472</v>
      </c>
      <c r="T5" s="4" t="s">
        <v>456</v>
      </c>
      <c r="U5" s="4">
        <v>3200</v>
      </c>
      <c r="V5" s="4">
        <v>4800</v>
      </c>
      <c r="W5" s="7">
        <v>25344</v>
      </c>
      <c r="X5" s="58">
        <v>0.2424242424242424</v>
      </c>
    </row>
    <row r="6" spans="1:24" x14ac:dyDescent="0.25">
      <c r="A6" s="17" t="s">
        <v>50</v>
      </c>
      <c r="B6" s="6">
        <v>45665</v>
      </c>
      <c r="C6" s="4" t="s">
        <v>51</v>
      </c>
      <c r="D6" s="4" t="s">
        <v>52</v>
      </c>
      <c r="E6" s="4" t="s">
        <v>53</v>
      </c>
      <c r="F6" s="7">
        <v>3</v>
      </c>
      <c r="G6" s="7">
        <v>0.03</v>
      </c>
      <c r="H6" s="7">
        <v>12222</v>
      </c>
      <c r="I6" s="4">
        <v>8400</v>
      </c>
      <c r="J6" s="7">
        <v>3822</v>
      </c>
      <c r="K6" s="4" t="s">
        <v>39</v>
      </c>
      <c r="L6" s="4" t="s">
        <v>35</v>
      </c>
      <c r="M6" s="4" t="s">
        <v>39</v>
      </c>
      <c r="N6" s="7">
        <v>12222</v>
      </c>
      <c r="O6" s="4" t="s">
        <v>492</v>
      </c>
      <c r="P6" s="4" t="s">
        <v>485</v>
      </c>
      <c r="Q6" s="4" t="s">
        <v>429</v>
      </c>
      <c r="R6" s="4" t="s">
        <v>395</v>
      </c>
      <c r="S6" s="4" t="s">
        <v>473</v>
      </c>
      <c r="T6" s="4" t="s">
        <v>456</v>
      </c>
      <c r="U6" s="4">
        <v>2800</v>
      </c>
      <c r="V6" s="4">
        <v>4200</v>
      </c>
      <c r="W6" s="7">
        <v>12222</v>
      </c>
      <c r="X6" s="58">
        <v>0.3127147766323024</v>
      </c>
    </row>
    <row r="7" spans="1:24" x14ac:dyDescent="0.25">
      <c r="A7" s="17" t="s">
        <v>54</v>
      </c>
      <c r="B7" s="6">
        <v>45710</v>
      </c>
      <c r="C7" s="4" t="s">
        <v>55</v>
      </c>
      <c r="D7" s="4" t="s">
        <v>56</v>
      </c>
      <c r="E7" s="4" t="s">
        <v>57</v>
      </c>
      <c r="F7" s="7">
        <v>8</v>
      </c>
      <c r="G7" s="7">
        <v>0.1</v>
      </c>
      <c r="H7" s="7">
        <v>37440</v>
      </c>
      <c r="I7" s="4">
        <v>28000</v>
      </c>
      <c r="J7" s="7">
        <v>9440</v>
      </c>
      <c r="K7" s="4" t="s">
        <v>58</v>
      </c>
      <c r="L7" s="4" t="s">
        <v>35</v>
      </c>
      <c r="M7" s="4" t="s">
        <v>63</v>
      </c>
      <c r="N7" s="7">
        <v>37440</v>
      </c>
      <c r="O7" s="4" t="s">
        <v>584</v>
      </c>
      <c r="P7" s="4" t="s">
        <v>579</v>
      </c>
      <c r="Q7" s="4" t="s">
        <v>417</v>
      </c>
      <c r="R7" s="4" t="s">
        <v>399</v>
      </c>
      <c r="S7" s="4" t="s">
        <v>477</v>
      </c>
      <c r="T7" s="4" t="s">
        <v>478</v>
      </c>
      <c r="U7" s="4">
        <v>3500</v>
      </c>
      <c r="V7" s="4">
        <v>5200</v>
      </c>
      <c r="W7" s="7">
        <v>37440</v>
      </c>
      <c r="X7" s="58">
        <v>0.25213675213675207</v>
      </c>
    </row>
    <row r="8" spans="1:24" x14ac:dyDescent="0.25">
      <c r="A8" s="17" t="s">
        <v>59</v>
      </c>
      <c r="B8" s="6">
        <v>45702</v>
      </c>
      <c r="C8" s="4" t="s">
        <v>60</v>
      </c>
      <c r="D8" s="4" t="s">
        <v>241</v>
      </c>
      <c r="E8" s="4" t="s">
        <v>62</v>
      </c>
      <c r="F8" s="7">
        <v>5</v>
      </c>
      <c r="G8" s="7">
        <v>0.1</v>
      </c>
      <c r="H8" s="7">
        <v>47250</v>
      </c>
      <c r="I8" s="4">
        <v>37500</v>
      </c>
      <c r="J8" s="7">
        <v>9750</v>
      </c>
      <c r="K8" s="4" t="s">
        <v>63</v>
      </c>
      <c r="L8" s="4" t="s">
        <v>35</v>
      </c>
      <c r="M8" s="4" t="s">
        <v>63</v>
      </c>
      <c r="N8" s="7">
        <v>47250</v>
      </c>
      <c r="O8" s="4" t="s">
        <v>504</v>
      </c>
      <c r="P8" s="4" t="s">
        <v>485</v>
      </c>
      <c r="Q8" s="4" t="s">
        <v>432</v>
      </c>
      <c r="R8" s="4" t="s">
        <v>399</v>
      </c>
      <c r="S8" s="4" t="s">
        <v>464</v>
      </c>
      <c r="T8" s="4" t="s">
        <v>463</v>
      </c>
      <c r="U8" s="4">
        <v>7500</v>
      </c>
      <c r="V8" s="4">
        <v>10500</v>
      </c>
      <c r="W8" s="7">
        <v>47250</v>
      </c>
      <c r="X8" s="58">
        <v>0.20634920634920631</v>
      </c>
    </row>
    <row r="9" spans="1:24" x14ac:dyDescent="0.25">
      <c r="A9" s="17" t="s">
        <v>64</v>
      </c>
      <c r="B9" s="6">
        <v>45754</v>
      </c>
      <c r="C9" s="4" t="s">
        <v>65</v>
      </c>
      <c r="D9" s="4" t="s">
        <v>66</v>
      </c>
      <c r="E9" s="4" t="s">
        <v>67</v>
      </c>
      <c r="F9" s="7">
        <v>9</v>
      </c>
      <c r="G9" s="7">
        <v>0.05</v>
      </c>
      <c r="H9" s="7">
        <v>58140</v>
      </c>
      <c r="I9" s="4">
        <v>40500</v>
      </c>
      <c r="J9" s="7">
        <v>17640</v>
      </c>
      <c r="K9" s="4" t="s">
        <v>63</v>
      </c>
      <c r="L9" s="4" t="s">
        <v>35</v>
      </c>
      <c r="M9" s="4" t="s">
        <v>63</v>
      </c>
      <c r="N9" s="7">
        <v>58140</v>
      </c>
      <c r="O9" s="4" t="s">
        <v>498</v>
      </c>
      <c r="P9" s="4" t="s">
        <v>485</v>
      </c>
      <c r="Q9" s="4" t="s">
        <v>421</v>
      </c>
      <c r="R9" s="4" t="s">
        <v>402</v>
      </c>
      <c r="S9" s="4" t="s">
        <v>466</v>
      </c>
      <c r="T9" s="4" t="s">
        <v>456</v>
      </c>
      <c r="U9" s="4">
        <v>4500</v>
      </c>
      <c r="V9" s="4">
        <v>6800</v>
      </c>
      <c r="W9" s="7">
        <v>58140</v>
      </c>
      <c r="X9" s="58">
        <v>0.30340557275541802</v>
      </c>
    </row>
    <row r="10" spans="1:24" x14ac:dyDescent="0.25">
      <c r="A10" s="17" t="s">
        <v>68</v>
      </c>
      <c r="B10" s="6">
        <v>45684</v>
      </c>
      <c r="C10" s="4" t="s">
        <v>181</v>
      </c>
      <c r="D10" s="4" t="s">
        <v>70</v>
      </c>
      <c r="E10" s="4" t="s">
        <v>71</v>
      </c>
      <c r="F10" s="7">
        <v>13</v>
      </c>
      <c r="G10" s="7">
        <v>0.08</v>
      </c>
      <c r="H10" s="7">
        <v>86112</v>
      </c>
      <c r="I10" s="4">
        <v>62400</v>
      </c>
      <c r="J10" s="7">
        <v>23712</v>
      </c>
      <c r="K10" s="4" t="s">
        <v>39</v>
      </c>
      <c r="L10" s="4" t="s">
        <v>35</v>
      </c>
      <c r="M10" s="4" t="s">
        <v>39</v>
      </c>
      <c r="N10" s="7">
        <v>86112</v>
      </c>
      <c r="O10" s="4" t="s">
        <v>541</v>
      </c>
      <c r="P10" s="4" t="s">
        <v>535</v>
      </c>
      <c r="Q10" s="4" t="s">
        <v>411</v>
      </c>
      <c r="R10" s="4" t="s">
        <v>402</v>
      </c>
      <c r="S10" s="4" t="s">
        <v>462</v>
      </c>
      <c r="T10" s="4" t="s">
        <v>463</v>
      </c>
      <c r="U10" s="4">
        <v>4800</v>
      </c>
      <c r="V10" s="4">
        <v>7200</v>
      </c>
      <c r="W10" s="7">
        <v>86112</v>
      </c>
      <c r="X10" s="58">
        <v>0.27536231884057971</v>
      </c>
    </row>
    <row r="11" spans="1:24" x14ac:dyDescent="0.25">
      <c r="A11" s="17" t="s">
        <v>72</v>
      </c>
      <c r="B11" s="6">
        <v>45833</v>
      </c>
      <c r="C11" s="4" t="s">
        <v>73</v>
      </c>
      <c r="D11" s="4" t="s">
        <v>74</v>
      </c>
      <c r="E11" s="4" t="s">
        <v>53</v>
      </c>
      <c r="F11" s="7">
        <v>10</v>
      </c>
      <c r="G11" s="7">
        <v>0.03</v>
      </c>
      <c r="H11" s="7">
        <v>40740</v>
      </c>
      <c r="I11" s="4">
        <v>28000</v>
      </c>
      <c r="J11" s="7">
        <v>12740</v>
      </c>
      <c r="K11" s="4" t="s">
        <v>63</v>
      </c>
      <c r="L11" s="4" t="s">
        <v>35</v>
      </c>
      <c r="M11" s="4" t="s">
        <v>63</v>
      </c>
      <c r="N11" s="7">
        <v>40740</v>
      </c>
      <c r="O11" s="4" t="s">
        <v>518</v>
      </c>
      <c r="P11" s="4" t="s">
        <v>485</v>
      </c>
      <c r="Q11" s="4" t="s">
        <v>431</v>
      </c>
      <c r="R11" s="4" t="s">
        <v>402</v>
      </c>
      <c r="S11" s="4" t="s">
        <v>473</v>
      </c>
      <c r="T11" s="4" t="s">
        <v>456</v>
      </c>
      <c r="U11" s="4">
        <v>2800</v>
      </c>
      <c r="V11" s="4">
        <v>4200</v>
      </c>
      <c r="W11" s="7">
        <v>40740</v>
      </c>
      <c r="X11" s="58">
        <v>0.3127147766323024</v>
      </c>
    </row>
    <row r="12" spans="1:24" x14ac:dyDescent="0.25">
      <c r="A12" s="17" t="s">
        <v>75</v>
      </c>
      <c r="B12" s="6">
        <v>45824</v>
      </c>
      <c r="C12" s="4" t="s">
        <v>76</v>
      </c>
      <c r="D12" s="4" t="s">
        <v>77</v>
      </c>
      <c r="E12" s="4" t="s">
        <v>78</v>
      </c>
      <c r="F12" s="7">
        <v>9</v>
      </c>
      <c r="G12" s="7">
        <v>0.1</v>
      </c>
      <c r="H12" s="7">
        <v>72900</v>
      </c>
      <c r="I12" s="4">
        <v>58500</v>
      </c>
      <c r="J12" s="7">
        <v>14400</v>
      </c>
      <c r="K12" s="4" t="s">
        <v>63</v>
      </c>
      <c r="L12" s="4" t="s">
        <v>35</v>
      </c>
      <c r="M12" s="4" t="s">
        <v>63</v>
      </c>
      <c r="N12" s="7">
        <v>72900</v>
      </c>
      <c r="O12" s="4" t="s">
        <v>497</v>
      </c>
      <c r="P12" s="4" t="s">
        <v>485</v>
      </c>
      <c r="Q12" s="4" t="s">
        <v>410</v>
      </c>
      <c r="R12" s="4" t="s">
        <v>402</v>
      </c>
      <c r="S12" s="4" t="s">
        <v>465</v>
      </c>
      <c r="T12" s="4" t="s">
        <v>463</v>
      </c>
      <c r="U12" s="4">
        <v>6500</v>
      </c>
      <c r="V12" s="4">
        <v>9000</v>
      </c>
      <c r="W12" s="7">
        <v>72900</v>
      </c>
      <c r="X12" s="58">
        <v>0.19753086419753091</v>
      </c>
    </row>
    <row r="13" spans="1:24" x14ac:dyDescent="0.25">
      <c r="A13" s="17" t="s">
        <v>79</v>
      </c>
      <c r="B13" s="6">
        <v>45739</v>
      </c>
      <c r="C13" s="4" t="s">
        <v>80</v>
      </c>
      <c r="D13" s="4" t="s">
        <v>70</v>
      </c>
      <c r="E13" s="4" t="s">
        <v>81</v>
      </c>
      <c r="F13" s="7">
        <v>13</v>
      </c>
      <c r="G13" s="7">
        <v>0.1</v>
      </c>
      <c r="H13" s="7">
        <v>105300</v>
      </c>
      <c r="I13" s="4">
        <v>84500</v>
      </c>
      <c r="J13" s="7">
        <v>20800</v>
      </c>
      <c r="K13" s="4" t="s">
        <v>39</v>
      </c>
      <c r="L13" s="4" t="s">
        <v>35</v>
      </c>
      <c r="M13" s="4" t="s">
        <v>39</v>
      </c>
      <c r="N13" s="7">
        <v>105300</v>
      </c>
      <c r="O13" s="4" t="s">
        <v>484</v>
      </c>
      <c r="P13" s="4" t="s">
        <v>485</v>
      </c>
      <c r="Q13" s="4" t="s">
        <v>411</v>
      </c>
      <c r="R13" s="4" t="s">
        <v>402</v>
      </c>
      <c r="S13" s="4" t="s">
        <v>470</v>
      </c>
      <c r="T13" s="4" t="s">
        <v>456</v>
      </c>
      <c r="U13" s="4">
        <v>6500</v>
      </c>
      <c r="V13" s="4">
        <v>9000</v>
      </c>
      <c r="W13" s="7">
        <v>105300</v>
      </c>
      <c r="X13" s="58">
        <v>0.19753086419753091</v>
      </c>
    </row>
    <row r="14" spans="1:24" x14ac:dyDescent="0.25">
      <c r="A14" s="17" t="s">
        <v>82</v>
      </c>
      <c r="B14" s="6">
        <v>45757</v>
      </c>
      <c r="C14" s="4" t="s">
        <v>83</v>
      </c>
      <c r="D14" s="4" t="s">
        <v>84</v>
      </c>
      <c r="E14" s="4" t="s">
        <v>85</v>
      </c>
      <c r="F14" s="7">
        <v>14</v>
      </c>
      <c r="G14" s="7">
        <v>0.05</v>
      </c>
      <c r="H14" s="7">
        <v>86450</v>
      </c>
      <c r="I14" s="4">
        <v>58800</v>
      </c>
      <c r="J14" s="7">
        <v>27650</v>
      </c>
      <c r="K14" s="4" t="s">
        <v>44</v>
      </c>
      <c r="L14" s="4" t="s">
        <v>35</v>
      </c>
      <c r="M14" s="4" t="s">
        <v>44</v>
      </c>
      <c r="N14" s="7">
        <v>86450</v>
      </c>
      <c r="O14" s="4" t="s">
        <v>523</v>
      </c>
      <c r="P14" s="4" t="s">
        <v>520</v>
      </c>
      <c r="Q14" s="4" t="s">
        <v>439</v>
      </c>
      <c r="R14" s="4" t="s">
        <v>395</v>
      </c>
      <c r="S14" s="4" t="s">
        <v>474</v>
      </c>
      <c r="T14" s="4" t="s">
        <v>463</v>
      </c>
      <c r="U14" s="4">
        <v>4200</v>
      </c>
      <c r="V14" s="4">
        <v>6500</v>
      </c>
      <c r="W14" s="7">
        <v>86450</v>
      </c>
      <c r="X14" s="58">
        <v>0.31983805668016202</v>
      </c>
    </row>
    <row r="15" spans="1:24" x14ac:dyDescent="0.25">
      <c r="A15" s="17" t="s">
        <v>86</v>
      </c>
      <c r="B15" s="6">
        <v>45794</v>
      </c>
      <c r="C15" s="4" t="s">
        <v>87</v>
      </c>
      <c r="D15" s="4" t="s">
        <v>88</v>
      </c>
      <c r="E15" s="4" t="s">
        <v>78</v>
      </c>
      <c r="F15" s="7">
        <v>8</v>
      </c>
      <c r="G15" s="7">
        <v>0.1</v>
      </c>
      <c r="H15" s="7">
        <v>64800</v>
      </c>
      <c r="I15" s="4">
        <v>52000</v>
      </c>
      <c r="J15" s="7">
        <v>12800</v>
      </c>
      <c r="K15" s="4" t="s">
        <v>44</v>
      </c>
      <c r="L15" s="4" t="s">
        <v>35</v>
      </c>
      <c r="M15" s="4" t="s">
        <v>44</v>
      </c>
      <c r="N15" s="7">
        <v>64800</v>
      </c>
      <c r="O15" s="4" t="s">
        <v>582</v>
      </c>
      <c r="P15" s="4" t="s">
        <v>579</v>
      </c>
      <c r="Q15" s="4" t="s">
        <v>442</v>
      </c>
      <c r="R15" s="4" t="s">
        <v>402</v>
      </c>
      <c r="S15" s="4" t="s">
        <v>465</v>
      </c>
      <c r="T15" s="4" t="s">
        <v>463</v>
      </c>
      <c r="U15" s="4">
        <v>6500</v>
      </c>
      <c r="V15" s="4">
        <v>9000</v>
      </c>
      <c r="W15" s="7">
        <v>64800</v>
      </c>
      <c r="X15" s="58">
        <v>0.19753086419753091</v>
      </c>
    </row>
    <row r="16" spans="1:24" x14ac:dyDescent="0.25">
      <c r="A16" s="17" t="s">
        <v>89</v>
      </c>
      <c r="B16" s="6">
        <v>45826</v>
      </c>
      <c r="C16" s="4" t="s">
        <v>76</v>
      </c>
      <c r="D16" s="4" t="s">
        <v>90</v>
      </c>
      <c r="E16" s="4" t="s">
        <v>91</v>
      </c>
      <c r="F16" s="7">
        <v>6</v>
      </c>
      <c r="G16" s="7">
        <v>0.12</v>
      </c>
      <c r="H16" s="7">
        <v>17952</v>
      </c>
      <c r="I16" s="4">
        <v>13200</v>
      </c>
      <c r="J16" s="7">
        <v>4752</v>
      </c>
      <c r="K16" s="4" t="s">
        <v>63</v>
      </c>
      <c r="L16" s="4" t="s">
        <v>35</v>
      </c>
      <c r="M16" s="4" t="s">
        <v>63</v>
      </c>
      <c r="N16" s="7">
        <v>17952</v>
      </c>
      <c r="O16" s="4" t="s">
        <v>497</v>
      </c>
      <c r="P16" s="4" t="s">
        <v>485</v>
      </c>
      <c r="Q16" s="4" t="s">
        <v>407</v>
      </c>
      <c r="R16" s="4" t="s">
        <v>402</v>
      </c>
      <c r="S16" s="4" t="s">
        <v>467</v>
      </c>
      <c r="T16" s="4" t="s">
        <v>456</v>
      </c>
      <c r="U16" s="4">
        <v>2200</v>
      </c>
      <c r="V16" s="4">
        <v>3400</v>
      </c>
      <c r="W16" s="7">
        <v>17952</v>
      </c>
      <c r="X16" s="58">
        <v>0.26470588235294118</v>
      </c>
    </row>
    <row r="17" spans="1:24" x14ac:dyDescent="0.25">
      <c r="A17" s="17" t="s">
        <v>92</v>
      </c>
      <c r="B17" s="6">
        <v>45704</v>
      </c>
      <c r="C17" s="4" t="s">
        <v>93</v>
      </c>
      <c r="D17" s="4" t="s">
        <v>94</v>
      </c>
      <c r="E17" s="4" t="s">
        <v>95</v>
      </c>
      <c r="F17" s="7">
        <v>18</v>
      </c>
      <c r="G17" s="7">
        <v>0.12</v>
      </c>
      <c r="H17" s="7">
        <v>823680</v>
      </c>
      <c r="I17" s="4">
        <v>756000</v>
      </c>
      <c r="J17" s="7">
        <v>67680</v>
      </c>
      <c r="K17" s="4" t="s">
        <v>63</v>
      </c>
      <c r="L17" s="4" t="s">
        <v>35</v>
      </c>
      <c r="M17" s="4" t="s">
        <v>63</v>
      </c>
      <c r="N17" s="7">
        <v>823680</v>
      </c>
      <c r="O17" s="4" t="s">
        <v>500</v>
      </c>
      <c r="P17" s="4" t="s">
        <v>485</v>
      </c>
      <c r="Q17" s="4" t="s">
        <v>435</v>
      </c>
      <c r="R17" s="4" t="s">
        <v>399</v>
      </c>
      <c r="S17" s="4" t="s">
        <v>455</v>
      </c>
      <c r="T17" s="4" t="s">
        <v>456</v>
      </c>
      <c r="U17" s="4">
        <v>42000</v>
      </c>
      <c r="V17" s="4">
        <v>52000</v>
      </c>
      <c r="W17" s="7">
        <v>823680</v>
      </c>
      <c r="X17" s="58">
        <v>8.2167832167832161E-2</v>
      </c>
    </row>
    <row r="18" spans="1:24" x14ac:dyDescent="0.25">
      <c r="A18" s="17" t="s">
        <v>96</v>
      </c>
      <c r="B18" s="6">
        <v>45742</v>
      </c>
      <c r="C18" s="4" t="s">
        <v>97</v>
      </c>
      <c r="D18" s="4" t="s">
        <v>98</v>
      </c>
      <c r="E18" s="4" t="s">
        <v>99</v>
      </c>
      <c r="F18" s="7">
        <v>10</v>
      </c>
      <c r="G18" s="7">
        <v>0.05</v>
      </c>
      <c r="H18" s="7">
        <v>361000</v>
      </c>
      <c r="I18" s="4">
        <v>300000</v>
      </c>
      <c r="J18" s="7">
        <v>61000</v>
      </c>
      <c r="K18" s="4" t="s">
        <v>39</v>
      </c>
      <c r="L18" s="4" t="s">
        <v>35</v>
      </c>
      <c r="M18" s="4" t="s">
        <v>39</v>
      </c>
      <c r="N18" s="7">
        <v>361000</v>
      </c>
      <c r="O18" s="4" t="s">
        <v>600</v>
      </c>
      <c r="P18" s="4" t="s">
        <v>590</v>
      </c>
      <c r="Q18" s="4" t="s">
        <v>428</v>
      </c>
      <c r="R18" s="4" t="s">
        <v>399</v>
      </c>
      <c r="S18" s="4" t="s">
        <v>457</v>
      </c>
      <c r="T18" s="4" t="s">
        <v>456</v>
      </c>
      <c r="U18" s="4">
        <v>30000</v>
      </c>
      <c r="V18" s="4">
        <v>38000</v>
      </c>
      <c r="W18" s="7">
        <v>361000</v>
      </c>
      <c r="X18" s="58">
        <v>0.16897506925207759</v>
      </c>
    </row>
    <row r="19" spans="1:24" x14ac:dyDescent="0.25">
      <c r="A19" s="17" t="s">
        <v>100</v>
      </c>
      <c r="B19" s="6">
        <v>45707</v>
      </c>
      <c r="C19" s="4" t="s">
        <v>93</v>
      </c>
      <c r="D19" s="4" t="s">
        <v>101</v>
      </c>
      <c r="E19" s="4" t="s">
        <v>78</v>
      </c>
      <c r="F19" s="7">
        <v>1</v>
      </c>
      <c r="G19" s="7">
        <v>0.05</v>
      </c>
      <c r="H19" s="7">
        <v>25650</v>
      </c>
      <c r="I19" s="4">
        <v>19500</v>
      </c>
      <c r="J19" s="7">
        <v>6150</v>
      </c>
      <c r="K19" s="4" t="s">
        <v>102</v>
      </c>
      <c r="L19" s="4" t="s">
        <v>35</v>
      </c>
      <c r="M19" s="4" t="s">
        <v>102</v>
      </c>
      <c r="N19" s="7">
        <v>25650</v>
      </c>
      <c r="O19" s="4" t="s">
        <v>500</v>
      </c>
      <c r="P19" s="4" t="s">
        <v>485</v>
      </c>
      <c r="Q19" s="4" t="s">
        <v>423</v>
      </c>
      <c r="R19" s="4" t="s">
        <v>402</v>
      </c>
      <c r="S19" s="4" t="s">
        <v>465</v>
      </c>
      <c r="T19" s="4" t="s">
        <v>463</v>
      </c>
      <c r="U19" s="4">
        <v>6500</v>
      </c>
      <c r="V19" s="4">
        <v>9000</v>
      </c>
      <c r="W19" s="7">
        <v>8550</v>
      </c>
      <c r="X19" s="58">
        <v>0.23976608187134499</v>
      </c>
    </row>
    <row r="20" spans="1:24" x14ac:dyDescent="0.25">
      <c r="A20" s="17" t="s">
        <v>103</v>
      </c>
      <c r="B20" s="6">
        <v>45709</v>
      </c>
      <c r="C20" s="4" t="s">
        <v>104</v>
      </c>
      <c r="D20" s="4" t="s">
        <v>56</v>
      </c>
      <c r="E20" s="4" t="s">
        <v>95</v>
      </c>
      <c r="F20" s="7">
        <v>5</v>
      </c>
      <c r="G20" s="7">
        <v>0</v>
      </c>
      <c r="H20" s="7">
        <v>260000</v>
      </c>
      <c r="I20" s="4">
        <v>210000</v>
      </c>
      <c r="J20" s="7">
        <v>50000</v>
      </c>
      <c r="K20" s="4" t="s">
        <v>63</v>
      </c>
      <c r="L20" s="4" t="s">
        <v>45</v>
      </c>
      <c r="M20" s="4" t="s">
        <v>63</v>
      </c>
      <c r="N20" s="7">
        <v>260000</v>
      </c>
      <c r="O20" s="4" t="s">
        <v>574</v>
      </c>
      <c r="P20" s="4" t="s">
        <v>478</v>
      </c>
      <c r="Q20" s="4" t="s">
        <v>417</v>
      </c>
      <c r="R20" s="4" t="s">
        <v>399</v>
      </c>
      <c r="S20" s="4" t="s">
        <v>455</v>
      </c>
      <c r="T20" s="4" t="s">
        <v>456</v>
      </c>
      <c r="U20" s="4">
        <v>42000</v>
      </c>
      <c r="V20" s="4">
        <v>52000</v>
      </c>
      <c r="W20" s="7">
        <v>260000</v>
      </c>
      <c r="X20" s="58">
        <v>0.19230769230769229</v>
      </c>
    </row>
    <row r="21" spans="1:24" x14ac:dyDescent="0.25">
      <c r="A21" s="17" t="s">
        <v>105</v>
      </c>
      <c r="B21" s="6">
        <v>45678</v>
      </c>
      <c r="C21" s="4" t="s">
        <v>106</v>
      </c>
      <c r="D21" s="4" t="s">
        <v>107</v>
      </c>
      <c r="E21" s="4" t="s">
        <v>91</v>
      </c>
      <c r="F21" s="7">
        <v>6</v>
      </c>
      <c r="G21" s="7">
        <v>0.12</v>
      </c>
      <c r="H21" s="7">
        <v>17952</v>
      </c>
      <c r="I21" s="4">
        <v>13200</v>
      </c>
      <c r="J21" s="7">
        <v>4752</v>
      </c>
      <c r="K21" s="4" t="s">
        <v>34</v>
      </c>
      <c r="L21" s="4" t="s">
        <v>660</v>
      </c>
      <c r="M21" s="4" t="s">
        <v>34</v>
      </c>
      <c r="N21" s="7">
        <v>17952</v>
      </c>
      <c r="O21" s="4" t="s">
        <v>529</v>
      </c>
      <c r="P21" s="4" t="s">
        <v>520</v>
      </c>
      <c r="Q21" s="4" t="s">
        <v>415</v>
      </c>
      <c r="R21" s="4" t="s">
        <v>399</v>
      </c>
      <c r="S21" s="4" t="s">
        <v>467</v>
      </c>
      <c r="T21" s="4" t="s">
        <v>456</v>
      </c>
      <c r="U21" s="4">
        <v>2200</v>
      </c>
      <c r="V21" s="4">
        <v>3400</v>
      </c>
      <c r="W21" s="7">
        <v>17952</v>
      </c>
      <c r="X21" s="58">
        <v>0.26470588235294118</v>
      </c>
    </row>
    <row r="22" spans="1:24" x14ac:dyDescent="0.25">
      <c r="A22" s="17" t="s">
        <v>108</v>
      </c>
      <c r="B22" s="6">
        <v>45701</v>
      </c>
      <c r="C22" s="4" t="s">
        <v>109</v>
      </c>
      <c r="D22" s="4" t="s">
        <v>88</v>
      </c>
      <c r="E22" s="4" t="s">
        <v>49</v>
      </c>
      <c r="F22" s="7">
        <v>9</v>
      </c>
      <c r="G22" s="7">
        <v>0</v>
      </c>
      <c r="H22" s="7">
        <v>43200</v>
      </c>
      <c r="I22" s="4">
        <v>28800</v>
      </c>
      <c r="J22" s="7">
        <v>14400</v>
      </c>
      <c r="K22" s="4" t="s">
        <v>44</v>
      </c>
      <c r="L22" s="4" t="s">
        <v>35</v>
      </c>
      <c r="M22" s="4" t="s">
        <v>44</v>
      </c>
      <c r="N22" s="7">
        <v>43200</v>
      </c>
      <c r="O22" s="4" t="s">
        <v>583</v>
      </c>
      <c r="P22" s="4" t="s">
        <v>579</v>
      </c>
      <c r="Q22" s="4" t="s">
        <v>442</v>
      </c>
      <c r="R22" s="4" t="s">
        <v>402</v>
      </c>
      <c r="S22" s="4" t="s">
        <v>472</v>
      </c>
      <c r="T22" s="4" t="s">
        <v>456</v>
      </c>
      <c r="U22" s="4">
        <v>3200</v>
      </c>
      <c r="V22" s="4">
        <v>4800</v>
      </c>
      <c r="W22" s="7">
        <v>43200</v>
      </c>
      <c r="X22" s="58">
        <v>0.33333333333333331</v>
      </c>
    </row>
    <row r="23" spans="1:24" x14ac:dyDescent="0.25">
      <c r="A23" s="17" t="s">
        <v>110</v>
      </c>
      <c r="B23" s="6">
        <v>45767</v>
      </c>
      <c r="C23" s="4" t="s">
        <v>111</v>
      </c>
      <c r="D23" s="4" t="s">
        <v>112</v>
      </c>
      <c r="E23" s="4" t="s">
        <v>99</v>
      </c>
      <c r="F23" s="7">
        <v>14</v>
      </c>
      <c r="G23" s="7">
        <v>0.1</v>
      </c>
      <c r="H23" s="7">
        <v>478800</v>
      </c>
      <c r="I23" s="4">
        <v>420000</v>
      </c>
      <c r="J23" s="7">
        <v>58800</v>
      </c>
      <c r="K23" s="4" t="s">
        <v>102</v>
      </c>
      <c r="L23" s="4" t="s">
        <v>35</v>
      </c>
      <c r="M23" s="4" t="s">
        <v>102</v>
      </c>
      <c r="N23" s="7">
        <v>478800</v>
      </c>
      <c r="O23" s="4" t="s">
        <v>509</v>
      </c>
      <c r="P23" s="4" t="s">
        <v>485</v>
      </c>
      <c r="Q23" s="4" t="s">
        <v>400</v>
      </c>
      <c r="R23" s="4" t="s">
        <v>399</v>
      </c>
      <c r="S23" s="4" t="s">
        <v>457</v>
      </c>
      <c r="T23" s="4" t="s">
        <v>456</v>
      </c>
      <c r="U23" s="4">
        <v>30000</v>
      </c>
      <c r="V23" s="4">
        <v>38000</v>
      </c>
      <c r="W23" s="7">
        <v>478800</v>
      </c>
      <c r="X23" s="58">
        <v>0.1228070175438596</v>
      </c>
    </row>
    <row r="24" spans="1:24" x14ac:dyDescent="0.25">
      <c r="A24" s="17" t="s">
        <v>113</v>
      </c>
      <c r="B24" s="6">
        <v>45740</v>
      </c>
      <c r="C24" s="4" t="s">
        <v>114</v>
      </c>
      <c r="D24" s="4" t="s">
        <v>115</v>
      </c>
      <c r="E24" s="4" t="s">
        <v>116</v>
      </c>
      <c r="F24" s="7">
        <v>12</v>
      </c>
      <c r="G24" s="7">
        <v>0</v>
      </c>
      <c r="H24" s="7">
        <v>144000</v>
      </c>
      <c r="I24" s="4">
        <v>102000</v>
      </c>
      <c r="J24" s="7">
        <v>42000</v>
      </c>
      <c r="K24" s="4" t="s">
        <v>117</v>
      </c>
      <c r="L24" s="4" t="s">
        <v>35</v>
      </c>
      <c r="M24" s="4" t="s">
        <v>44</v>
      </c>
      <c r="N24" s="7">
        <v>144000</v>
      </c>
      <c r="O24" s="4" t="s">
        <v>538</v>
      </c>
      <c r="P24" s="4" t="s">
        <v>535</v>
      </c>
      <c r="Q24" s="4" t="s">
        <v>443</v>
      </c>
      <c r="R24" s="4" t="s">
        <v>395</v>
      </c>
      <c r="S24" s="4" t="s">
        <v>458</v>
      </c>
      <c r="T24" s="4" t="s">
        <v>456</v>
      </c>
      <c r="U24" s="4">
        <v>8500</v>
      </c>
      <c r="V24" s="4">
        <v>12000</v>
      </c>
      <c r="W24" s="7">
        <v>144000</v>
      </c>
      <c r="X24" s="58">
        <v>0.29166666666666669</v>
      </c>
    </row>
    <row r="25" spans="1:24" x14ac:dyDescent="0.25">
      <c r="A25" s="17" t="s">
        <v>118</v>
      </c>
      <c r="B25" s="6">
        <v>45835</v>
      </c>
      <c r="C25" s="4" t="s">
        <v>119</v>
      </c>
      <c r="D25" s="4" t="s">
        <v>120</v>
      </c>
      <c r="E25" s="4" t="s">
        <v>121</v>
      </c>
      <c r="F25" s="7">
        <v>8</v>
      </c>
      <c r="G25" s="7">
        <v>0</v>
      </c>
      <c r="H25" s="7">
        <v>28800</v>
      </c>
      <c r="I25" s="4">
        <v>19200</v>
      </c>
      <c r="J25" s="7">
        <v>9600</v>
      </c>
      <c r="K25" s="4" t="s">
        <v>44</v>
      </c>
      <c r="L25" s="4" t="s">
        <v>122</v>
      </c>
      <c r="M25" s="4" t="s">
        <v>44</v>
      </c>
      <c r="N25" s="7">
        <v>28800</v>
      </c>
      <c r="O25" s="4" t="s">
        <v>566</v>
      </c>
      <c r="P25" s="4" t="s">
        <v>478</v>
      </c>
      <c r="Q25" s="4" t="s">
        <v>419</v>
      </c>
      <c r="R25" s="4" t="s">
        <v>402</v>
      </c>
      <c r="S25" s="4" t="s">
        <v>476</v>
      </c>
      <c r="T25" s="4" t="s">
        <v>456</v>
      </c>
      <c r="U25" s="4">
        <v>2400</v>
      </c>
      <c r="V25" s="4">
        <v>3600</v>
      </c>
      <c r="W25" s="7">
        <v>28800</v>
      </c>
      <c r="X25" s="58">
        <v>0.33333333333333331</v>
      </c>
    </row>
    <row r="26" spans="1:24" x14ac:dyDescent="0.25">
      <c r="A26" s="17" t="s">
        <v>123</v>
      </c>
      <c r="B26" s="6">
        <v>45669</v>
      </c>
      <c r="C26" s="4" t="s">
        <v>124</v>
      </c>
      <c r="D26" s="4" t="s">
        <v>125</v>
      </c>
      <c r="E26" s="4" t="s">
        <v>49</v>
      </c>
      <c r="F26" s="7">
        <v>6</v>
      </c>
      <c r="G26" s="7">
        <v>0</v>
      </c>
      <c r="H26" s="7">
        <v>28800</v>
      </c>
      <c r="I26" s="4">
        <v>19200</v>
      </c>
      <c r="J26" s="7">
        <v>9600</v>
      </c>
      <c r="K26" s="4" t="s">
        <v>39</v>
      </c>
      <c r="L26" s="4" t="s">
        <v>122</v>
      </c>
      <c r="M26" s="4" t="s">
        <v>39</v>
      </c>
      <c r="N26" s="7">
        <v>28800</v>
      </c>
      <c r="O26" s="4" t="s">
        <v>575</v>
      </c>
      <c r="P26" s="4" t="s">
        <v>478</v>
      </c>
      <c r="Q26" s="4" t="s">
        <v>450</v>
      </c>
      <c r="R26" s="4" t="s">
        <v>395</v>
      </c>
      <c r="S26" s="4" t="s">
        <v>472</v>
      </c>
      <c r="T26" s="4" t="s">
        <v>456</v>
      </c>
      <c r="U26" s="4">
        <v>3200</v>
      </c>
      <c r="V26" s="4">
        <v>4800</v>
      </c>
      <c r="W26" s="7">
        <v>28800</v>
      </c>
      <c r="X26" s="58">
        <v>0.33333333333333331</v>
      </c>
    </row>
    <row r="27" spans="1:24" x14ac:dyDescent="0.25">
      <c r="A27" s="17" t="s">
        <v>126</v>
      </c>
      <c r="B27" s="6">
        <v>45692</v>
      </c>
      <c r="C27" s="4" t="s">
        <v>127</v>
      </c>
      <c r="D27" s="4" t="s">
        <v>128</v>
      </c>
      <c r="E27" s="4" t="s">
        <v>53</v>
      </c>
      <c r="F27" s="7">
        <v>14</v>
      </c>
      <c r="G27" s="7">
        <v>0.1</v>
      </c>
      <c r="H27" s="7">
        <v>52920</v>
      </c>
      <c r="I27" s="4">
        <v>39200</v>
      </c>
      <c r="J27" s="7">
        <v>13720</v>
      </c>
      <c r="K27" s="4" t="s">
        <v>34</v>
      </c>
      <c r="L27" s="4" t="s">
        <v>35</v>
      </c>
      <c r="M27" s="4" t="s">
        <v>34</v>
      </c>
      <c r="N27" s="7">
        <v>52920</v>
      </c>
      <c r="O27" s="4" t="s">
        <v>542</v>
      </c>
      <c r="P27" s="4" t="s">
        <v>535</v>
      </c>
      <c r="Q27" s="4" t="s">
        <v>426</v>
      </c>
      <c r="R27" s="4" t="s">
        <v>402</v>
      </c>
      <c r="S27" s="4" t="s">
        <v>473</v>
      </c>
      <c r="T27" s="4" t="s">
        <v>456</v>
      </c>
      <c r="U27" s="4">
        <v>2800</v>
      </c>
      <c r="V27" s="4">
        <v>4200</v>
      </c>
      <c r="W27" s="7">
        <v>52920</v>
      </c>
      <c r="X27" s="58">
        <v>0.25925925925925919</v>
      </c>
    </row>
    <row r="28" spans="1:24" x14ac:dyDescent="0.25">
      <c r="A28" s="17" t="s">
        <v>129</v>
      </c>
      <c r="B28" s="6">
        <v>45716</v>
      </c>
      <c r="C28" s="4" t="s">
        <v>130</v>
      </c>
      <c r="D28" s="4" t="s">
        <v>88</v>
      </c>
      <c r="E28" s="4" t="s">
        <v>78</v>
      </c>
      <c r="F28" s="7">
        <v>13</v>
      </c>
      <c r="G28" s="7">
        <v>0</v>
      </c>
      <c r="H28" s="7">
        <v>117000</v>
      </c>
      <c r="I28" s="4">
        <v>84500</v>
      </c>
      <c r="J28" s="7">
        <v>32500</v>
      </c>
      <c r="K28" s="4" t="s">
        <v>44</v>
      </c>
      <c r="L28" s="4" t="s">
        <v>35</v>
      </c>
      <c r="M28" s="4" t="s">
        <v>44</v>
      </c>
      <c r="N28" s="7">
        <v>117000</v>
      </c>
      <c r="O28" s="4" t="s">
        <v>539</v>
      </c>
      <c r="P28" s="4" t="s">
        <v>535</v>
      </c>
      <c r="Q28" s="4" t="s">
        <v>442</v>
      </c>
      <c r="R28" s="4" t="s">
        <v>402</v>
      </c>
      <c r="S28" s="4" t="s">
        <v>465</v>
      </c>
      <c r="T28" s="4" t="s">
        <v>463</v>
      </c>
      <c r="U28" s="4">
        <v>6500</v>
      </c>
      <c r="V28" s="4">
        <v>9000</v>
      </c>
      <c r="W28" s="7">
        <v>117000</v>
      </c>
      <c r="X28" s="58">
        <v>0.27777777777777779</v>
      </c>
    </row>
    <row r="29" spans="1:24" x14ac:dyDescent="0.25">
      <c r="A29" s="17" t="s">
        <v>131</v>
      </c>
      <c r="B29" s="6">
        <v>45751</v>
      </c>
      <c r="C29" s="4" t="s">
        <v>132</v>
      </c>
      <c r="D29" s="4" t="s">
        <v>133</v>
      </c>
      <c r="E29" s="4" t="s">
        <v>71</v>
      </c>
      <c r="F29" s="7">
        <v>6</v>
      </c>
      <c r="G29" s="7">
        <v>0</v>
      </c>
      <c r="H29" s="7">
        <v>43200</v>
      </c>
      <c r="I29" s="4">
        <v>28800</v>
      </c>
      <c r="J29" s="7">
        <v>14400</v>
      </c>
      <c r="K29" s="4" t="s">
        <v>39</v>
      </c>
      <c r="L29" s="4" t="s">
        <v>35</v>
      </c>
      <c r="M29" s="4" t="s">
        <v>39</v>
      </c>
      <c r="N29" s="7">
        <v>43200</v>
      </c>
      <c r="O29" s="4" t="s">
        <v>577</v>
      </c>
      <c r="P29" s="4" t="s">
        <v>478</v>
      </c>
      <c r="Q29" s="4" t="s">
        <v>412</v>
      </c>
      <c r="R29" s="4" t="s">
        <v>402</v>
      </c>
      <c r="S29" s="4" t="s">
        <v>462</v>
      </c>
      <c r="T29" s="4" t="s">
        <v>463</v>
      </c>
      <c r="U29" s="4">
        <v>4800</v>
      </c>
      <c r="V29" s="4">
        <v>7200</v>
      </c>
      <c r="W29" s="7">
        <v>43200</v>
      </c>
      <c r="X29" s="58">
        <v>0.33333333333333331</v>
      </c>
    </row>
    <row r="30" spans="1:24" x14ac:dyDescent="0.25">
      <c r="A30" s="17" t="s">
        <v>134</v>
      </c>
      <c r="B30" s="6">
        <v>45670</v>
      </c>
      <c r="C30" s="4" t="s">
        <v>135</v>
      </c>
      <c r="D30" s="4" t="s">
        <v>136</v>
      </c>
      <c r="E30" s="4" t="s">
        <v>95</v>
      </c>
      <c r="F30" s="7">
        <v>2</v>
      </c>
      <c r="G30" s="7">
        <v>0.08</v>
      </c>
      <c r="H30" s="7">
        <v>95680</v>
      </c>
      <c r="I30" s="4">
        <v>84000</v>
      </c>
      <c r="J30" s="7">
        <v>11680</v>
      </c>
      <c r="K30" s="4" t="s">
        <v>137</v>
      </c>
      <c r="L30" s="4" t="s">
        <v>35</v>
      </c>
      <c r="M30" s="4" t="s">
        <v>34</v>
      </c>
      <c r="N30" s="7">
        <v>95680</v>
      </c>
      <c r="O30" s="4" t="s">
        <v>557</v>
      </c>
      <c r="P30" s="4" t="s">
        <v>478</v>
      </c>
      <c r="Q30" s="4" t="s">
        <v>418</v>
      </c>
      <c r="R30" s="4" t="s">
        <v>402</v>
      </c>
      <c r="S30" s="4" t="s">
        <v>455</v>
      </c>
      <c r="T30" s="4" t="s">
        <v>456</v>
      </c>
      <c r="U30" s="4">
        <v>42000</v>
      </c>
      <c r="V30" s="4">
        <v>52000</v>
      </c>
      <c r="W30" s="7">
        <v>95680</v>
      </c>
      <c r="X30" s="58">
        <v>0.1220735785953177</v>
      </c>
    </row>
    <row r="31" spans="1:24" x14ac:dyDescent="0.25">
      <c r="A31" s="17" t="s">
        <v>138</v>
      </c>
      <c r="B31" s="6">
        <v>45798</v>
      </c>
      <c r="C31" s="4" t="s">
        <v>139</v>
      </c>
      <c r="D31" s="4" t="s">
        <v>115</v>
      </c>
      <c r="E31" s="4" t="s">
        <v>49</v>
      </c>
      <c r="F31" s="7">
        <v>13</v>
      </c>
      <c r="G31" s="7">
        <v>0</v>
      </c>
      <c r="H31" s="7">
        <v>62400</v>
      </c>
      <c r="I31" s="4">
        <v>41600</v>
      </c>
      <c r="J31" s="7">
        <v>20800</v>
      </c>
      <c r="K31" s="4" t="s">
        <v>44</v>
      </c>
      <c r="L31" s="4" t="s">
        <v>35</v>
      </c>
      <c r="M31" s="4" t="s">
        <v>44</v>
      </c>
      <c r="N31" s="7">
        <v>62400</v>
      </c>
      <c r="O31" s="4" t="s">
        <v>553</v>
      </c>
      <c r="P31" s="4" t="s">
        <v>547</v>
      </c>
      <c r="Q31" s="4" t="s">
        <v>443</v>
      </c>
      <c r="R31" s="4" t="s">
        <v>395</v>
      </c>
      <c r="S31" s="4" t="s">
        <v>472</v>
      </c>
      <c r="T31" s="4" t="s">
        <v>456</v>
      </c>
      <c r="U31" s="4">
        <v>3200</v>
      </c>
      <c r="V31" s="4">
        <v>4800</v>
      </c>
      <c r="W31" s="7">
        <v>62400</v>
      </c>
      <c r="X31" s="58">
        <v>0.33333333333333331</v>
      </c>
    </row>
    <row r="32" spans="1:24" x14ac:dyDescent="0.25">
      <c r="A32" s="17" t="s">
        <v>140</v>
      </c>
      <c r="B32" s="6">
        <v>45791</v>
      </c>
      <c r="C32" s="4" t="s">
        <v>141</v>
      </c>
      <c r="D32" s="4" t="s">
        <v>142</v>
      </c>
      <c r="E32" s="4" t="s">
        <v>116</v>
      </c>
      <c r="F32" s="7">
        <v>4</v>
      </c>
      <c r="G32" s="7">
        <v>0.1</v>
      </c>
      <c r="H32" s="7">
        <v>43200</v>
      </c>
      <c r="I32" s="4">
        <v>34000</v>
      </c>
      <c r="J32" s="7">
        <v>9200</v>
      </c>
      <c r="K32" s="4" t="s">
        <v>102</v>
      </c>
      <c r="L32" s="4" t="s">
        <v>35</v>
      </c>
      <c r="M32" s="4" t="s">
        <v>102</v>
      </c>
      <c r="N32" s="7">
        <v>43200</v>
      </c>
      <c r="O32" s="4" t="s">
        <v>540</v>
      </c>
      <c r="P32" s="4" t="s">
        <v>535</v>
      </c>
      <c r="Q32" s="4" t="s">
        <v>441</v>
      </c>
      <c r="R32" s="4" t="s">
        <v>399</v>
      </c>
      <c r="S32" s="4" t="s">
        <v>458</v>
      </c>
      <c r="T32" s="4" t="s">
        <v>456</v>
      </c>
      <c r="U32" s="4">
        <v>8500</v>
      </c>
      <c r="V32" s="4">
        <v>12000</v>
      </c>
      <c r="W32" s="7">
        <v>43200</v>
      </c>
      <c r="X32" s="58">
        <v>0.21296296296296299</v>
      </c>
    </row>
    <row r="33" spans="1:24" x14ac:dyDescent="0.25">
      <c r="A33" s="17" t="s">
        <v>143</v>
      </c>
      <c r="B33" s="6">
        <v>45687</v>
      </c>
      <c r="C33" s="4" t="s">
        <v>80</v>
      </c>
      <c r="D33" s="4" t="s">
        <v>144</v>
      </c>
      <c r="E33" s="4" t="s">
        <v>145</v>
      </c>
      <c r="F33" s="7">
        <v>4</v>
      </c>
      <c r="G33" s="7">
        <v>0.03</v>
      </c>
      <c r="H33" s="7">
        <v>9700</v>
      </c>
      <c r="I33" s="4">
        <v>6400</v>
      </c>
      <c r="J33" s="7">
        <v>3300</v>
      </c>
      <c r="K33" s="4" t="s">
        <v>63</v>
      </c>
      <c r="L33" s="4" t="s">
        <v>35</v>
      </c>
      <c r="M33" s="4" t="s">
        <v>63</v>
      </c>
      <c r="N33" s="7">
        <v>9700</v>
      </c>
      <c r="O33" s="4" t="s">
        <v>484</v>
      </c>
      <c r="P33" s="4" t="s">
        <v>485</v>
      </c>
      <c r="Q33" s="4" t="s">
        <v>447</v>
      </c>
      <c r="R33" s="4" t="s">
        <v>402</v>
      </c>
      <c r="S33" s="4" t="s">
        <v>469</v>
      </c>
      <c r="T33" s="4" t="s">
        <v>460</v>
      </c>
      <c r="U33" s="4">
        <v>1600</v>
      </c>
      <c r="V33" s="4">
        <v>2500</v>
      </c>
      <c r="W33" s="7">
        <v>9700</v>
      </c>
      <c r="X33" s="58">
        <v>0.34020618556701032</v>
      </c>
    </row>
    <row r="34" spans="1:24" x14ac:dyDescent="0.25">
      <c r="A34" s="17" t="s">
        <v>146</v>
      </c>
      <c r="B34" s="6">
        <v>45838</v>
      </c>
      <c r="C34" s="4" t="s">
        <v>147</v>
      </c>
      <c r="D34" s="4" t="s">
        <v>148</v>
      </c>
      <c r="E34" s="4" t="s">
        <v>62</v>
      </c>
      <c r="F34" s="7">
        <v>7</v>
      </c>
      <c r="G34" s="7">
        <v>0.03</v>
      </c>
      <c r="H34" s="7">
        <v>71295</v>
      </c>
      <c r="I34" s="4">
        <v>52500</v>
      </c>
      <c r="J34" s="7">
        <v>18795</v>
      </c>
      <c r="K34" s="4" t="s">
        <v>102</v>
      </c>
      <c r="L34" s="4" t="s">
        <v>35</v>
      </c>
      <c r="M34" s="4" t="s">
        <v>102</v>
      </c>
      <c r="N34" s="7">
        <v>71295</v>
      </c>
      <c r="O34" s="4" t="s">
        <v>493</v>
      </c>
      <c r="P34" s="4" t="s">
        <v>485</v>
      </c>
      <c r="Q34" s="4" t="s">
        <v>437</v>
      </c>
      <c r="R34" s="4" t="s">
        <v>402</v>
      </c>
      <c r="S34" s="4" t="s">
        <v>464</v>
      </c>
      <c r="T34" s="4" t="s">
        <v>463</v>
      </c>
      <c r="U34" s="4">
        <v>7500</v>
      </c>
      <c r="V34" s="4">
        <v>10500</v>
      </c>
      <c r="W34" s="7">
        <v>71295</v>
      </c>
      <c r="X34" s="58">
        <v>0.26362297496318121</v>
      </c>
    </row>
    <row r="35" spans="1:24" x14ac:dyDescent="0.25">
      <c r="A35" s="17" t="s">
        <v>149</v>
      </c>
      <c r="B35" s="6">
        <v>45718</v>
      </c>
      <c r="C35" s="4" t="s">
        <v>326</v>
      </c>
      <c r="D35" s="4" t="s">
        <v>151</v>
      </c>
      <c r="E35" s="4" t="s">
        <v>152</v>
      </c>
      <c r="F35" s="7">
        <v>16</v>
      </c>
      <c r="G35" s="7">
        <v>0.03</v>
      </c>
      <c r="H35" s="7">
        <v>43456</v>
      </c>
      <c r="I35" s="4">
        <v>28800</v>
      </c>
      <c r="J35" s="7">
        <v>14656</v>
      </c>
      <c r="K35" s="4" t="s">
        <v>63</v>
      </c>
      <c r="L35" s="4" t="s">
        <v>122</v>
      </c>
      <c r="M35" s="4" t="s">
        <v>63</v>
      </c>
      <c r="N35" s="7">
        <v>43456</v>
      </c>
      <c r="O35" s="4" t="s">
        <v>495</v>
      </c>
      <c r="P35" s="4" t="s">
        <v>485</v>
      </c>
      <c r="Q35" s="4" t="s">
        <v>408</v>
      </c>
      <c r="R35" s="4" t="s">
        <v>395</v>
      </c>
      <c r="S35" s="4" t="s">
        <v>459</v>
      </c>
      <c r="T35" s="4" t="s">
        <v>460</v>
      </c>
      <c r="U35" s="4">
        <v>1800</v>
      </c>
      <c r="V35" s="4">
        <v>2800</v>
      </c>
      <c r="W35" s="7">
        <v>43456</v>
      </c>
      <c r="X35" s="58">
        <v>0.33726067746686311</v>
      </c>
    </row>
    <row r="36" spans="1:24" x14ac:dyDescent="0.25">
      <c r="A36" s="17" t="s">
        <v>153</v>
      </c>
      <c r="B36" s="6">
        <v>45788</v>
      </c>
      <c r="C36" s="4" t="s">
        <v>154</v>
      </c>
      <c r="D36" s="4" t="s">
        <v>94</v>
      </c>
      <c r="E36" s="4" t="s">
        <v>95</v>
      </c>
      <c r="F36" s="7">
        <v>5</v>
      </c>
      <c r="G36" s="7">
        <v>0</v>
      </c>
      <c r="H36" s="7">
        <v>260000</v>
      </c>
      <c r="I36" s="4">
        <v>210000</v>
      </c>
      <c r="J36" s="7">
        <v>50000</v>
      </c>
      <c r="K36" s="4" t="s">
        <v>63</v>
      </c>
      <c r="L36" s="4" t="s">
        <v>35</v>
      </c>
      <c r="M36" s="4" t="s">
        <v>63</v>
      </c>
      <c r="N36" s="7">
        <v>260000</v>
      </c>
      <c r="O36" s="4" t="s">
        <v>546</v>
      </c>
      <c r="P36" s="4" t="s">
        <v>547</v>
      </c>
      <c r="Q36" s="4" t="s">
        <v>435</v>
      </c>
      <c r="R36" s="4" t="s">
        <v>399</v>
      </c>
      <c r="S36" s="4" t="s">
        <v>455</v>
      </c>
      <c r="T36" s="4" t="s">
        <v>456</v>
      </c>
      <c r="U36" s="4">
        <v>42000</v>
      </c>
      <c r="V36" s="4">
        <v>52000</v>
      </c>
      <c r="W36" s="7">
        <v>260000</v>
      </c>
      <c r="X36" s="58">
        <v>0.19230769230769229</v>
      </c>
    </row>
    <row r="37" spans="1:24" x14ac:dyDescent="0.25">
      <c r="A37" s="17" t="s">
        <v>155</v>
      </c>
      <c r="B37" s="6">
        <v>45776</v>
      </c>
      <c r="C37" s="4" t="s">
        <v>127</v>
      </c>
      <c r="D37" s="4" t="s">
        <v>112</v>
      </c>
      <c r="E37" s="4" t="s">
        <v>62</v>
      </c>
      <c r="F37" s="7">
        <v>10</v>
      </c>
      <c r="G37" s="7">
        <v>0.03</v>
      </c>
      <c r="H37" s="7">
        <v>101850</v>
      </c>
      <c r="I37" s="4">
        <v>75000</v>
      </c>
      <c r="J37" s="7">
        <v>26850</v>
      </c>
      <c r="K37" s="4" t="s">
        <v>102</v>
      </c>
      <c r="L37" s="4" t="s">
        <v>35</v>
      </c>
      <c r="M37" s="4" t="s">
        <v>102</v>
      </c>
      <c r="N37" s="7">
        <v>101850</v>
      </c>
      <c r="O37" s="4" t="s">
        <v>542</v>
      </c>
      <c r="P37" s="4" t="s">
        <v>535</v>
      </c>
      <c r="Q37" s="4" t="s">
        <v>400</v>
      </c>
      <c r="R37" s="4" t="s">
        <v>399</v>
      </c>
      <c r="S37" s="4" t="s">
        <v>464</v>
      </c>
      <c r="T37" s="4" t="s">
        <v>463</v>
      </c>
      <c r="U37" s="4">
        <v>7500</v>
      </c>
      <c r="V37" s="4">
        <v>10500</v>
      </c>
      <c r="W37" s="7">
        <v>101850</v>
      </c>
      <c r="X37" s="58">
        <v>0.26362297496318121</v>
      </c>
    </row>
    <row r="38" spans="1:24" x14ac:dyDescent="0.25">
      <c r="A38" s="17" t="s">
        <v>157</v>
      </c>
      <c r="B38" s="6">
        <v>45687</v>
      </c>
      <c r="C38" s="4" t="s">
        <v>73</v>
      </c>
      <c r="D38" s="4" t="s">
        <v>158</v>
      </c>
      <c r="E38" s="4" t="s">
        <v>53</v>
      </c>
      <c r="F38" s="7">
        <v>11</v>
      </c>
      <c r="G38" s="7">
        <v>0.05</v>
      </c>
      <c r="H38" s="7">
        <v>43890</v>
      </c>
      <c r="I38" s="4">
        <v>30800</v>
      </c>
      <c r="J38" s="7">
        <v>13090</v>
      </c>
      <c r="K38" s="4" t="s">
        <v>117</v>
      </c>
      <c r="L38" s="4" t="s">
        <v>35</v>
      </c>
      <c r="M38" s="4" t="s">
        <v>44</v>
      </c>
      <c r="N38" s="7">
        <v>43890</v>
      </c>
      <c r="O38" s="4" t="s">
        <v>518</v>
      </c>
      <c r="P38" s="4" t="s">
        <v>485</v>
      </c>
      <c r="Q38" s="4" t="s">
        <v>430</v>
      </c>
      <c r="R38" s="4" t="s">
        <v>395</v>
      </c>
      <c r="S38" s="4" t="s">
        <v>473</v>
      </c>
      <c r="T38" s="4" t="s">
        <v>456</v>
      </c>
      <c r="U38" s="4">
        <v>2800</v>
      </c>
      <c r="V38" s="4">
        <v>4200</v>
      </c>
      <c r="W38" s="7">
        <v>43890</v>
      </c>
      <c r="X38" s="58">
        <v>0.2982456140350877</v>
      </c>
    </row>
    <row r="39" spans="1:24" x14ac:dyDescent="0.25">
      <c r="A39" s="17" t="s">
        <v>159</v>
      </c>
      <c r="B39" s="6">
        <v>45749</v>
      </c>
      <c r="C39" s="4" t="s">
        <v>160</v>
      </c>
      <c r="D39" s="4" t="s">
        <v>161</v>
      </c>
      <c r="E39" s="4" t="s">
        <v>162</v>
      </c>
      <c r="F39" s="7">
        <v>6</v>
      </c>
      <c r="G39" s="7">
        <v>0.03</v>
      </c>
      <c r="H39" s="7">
        <v>93120</v>
      </c>
      <c r="I39" s="4">
        <v>69000</v>
      </c>
      <c r="J39" s="7">
        <v>24120</v>
      </c>
      <c r="K39" s="4" t="s">
        <v>39</v>
      </c>
      <c r="L39" s="4" t="s">
        <v>35</v>
      </c>
      <c r="M39" s="4" t="s">
        <v>39</v>
      </c>
      <c r="N39" s="7">
        <v>93120</v>
      </c>
      <c r="O39" s="4" t="s">
        <v>501</v>
      </c>
      <c r="P39" s="4" t="s">
        <v>485</v>
      </c>
      <c r="Q39" s="4" t="s">
        <v>434</v>
      </c>
      <c r="R39" s="4" t="s">
        <v>402</v>
      </c>
      <c r="S39" s="4" t="s">
        <v>471</v>
      </c>
      <c r="T39" s="4" t="s">
        <v>463</v>
      </c>
      <c r="U39" s="4">
        <v>11500</v>
      </c>
      <c r="V39" s="4">
        <v>16000</v>
      </c>
      <c r="W39" s="7">
        <v>93120</v>
      </c>
      <c r="X39" s="58">
        <v>0.25902061855670111</v>
      </c>
    </row>
    <row r="40" spans="1:24" x14ac:dyDescent="0.25">
      <c r="A40" s="17" t="s">
        <v>163</v>
      </c>
      <c r="B40" s="6">
        <v>45687</v>
      </c>
      <c r="C40" s="4" t="s">
        <v>114</v>
      </c>
      <c r="D40" s="4" t="s">
        <v>164</v>
      </c>
      <c r="E40" s="4" t="s">
        <v>33</v>
      </c>
      <c r="F40" s="7">
        <v>11</v>
      </c>
      <c r="G40" s="7">
        <v>0</v>
      </c>
      <c r="H40" s="7">
        <v>39600</v>
      </c>
      <c r="I40" s="4">
        <v>26400</v>
      </c>
      <c r="J40" s="7">
        <v>13200</v>
      </c>
      <c r="K40" s="4" t="s">
        <v>44</v>
      </c>
      <c r="L40" s="4" t="s">
        <v>45</v>
      </c>
      <c r="M40" s="4" t="s">
        <v>44</v>
      </c>
      <c r="N40" s="7">
        <v>39600</v>
      </c>
      <c r="O40" s="4" t="s">
        <v>538</v>
      </c>
      <c r="P40" s="4" t="s">
        <v>535</v>
      </c>
      <c r="Q40" s="4" t="s">
        <v>422</v>
      </c>
      <c r="R40" s="4" t="s">
        <v>402</v>
      </c>
      <c r="S40" s="4" t="s">
        <v>475</v>
      </c>
      <c r="T40" s="4" t="s">
        <v>460</v>
      </c>
      <c r="U40" s="4">
        <v>2400</v>
      </c>
      <c r="V40" s="4">
        <v>3600</v>
      </c>
      <c r="W40" s="7">
        <v>39600</v>
      </c>
      <c r="X40" s="58">
        <v>0.33333333333333331</v>
      </c>
    </row>
    <row r="41" spans="1:24" x14ac:dyDescent="0.25">
      <c r="A41" s="17" t="s">
        <v>165</v>
      </c>
      <c r="B41" s="6">
        <v>45765</v>
      </c>
      <c r="C41" s="4" t="s">
        <v>147</v>
      </c>
      <c r="D41" s="4" t="s">
        <v>166</v>
      </c>
      <c r="E41" s="4" t="s">
        <v>95</v>
      </c>
      <c r="F41" s="7">
        <v>16</v>
      </c>
      <c r="G41" s="7">
        <v>0.12</v>
      </c>
      <c r="H41" s="7">
        <v>732160</v>
      </c>
      <c r="I41" s="4">
        <v>672000</v>
      </c>
      <c r="J41" s="7">
        <v>60160</v>
      </c>
      <c r="K41" s="4" t="s">
        <v>34</v>
      </c>
      <c r="L41" s="4" t="s">
        <v>35</v>
      </c>
      <c r="M41" s="4" t="s">
        <v>34</v>
      </c>
      <c r="N41" s="7">
        <v>732160</v>
      </c>
      <c r="O41" s="4" t="s">
        <v>493</v>
      </c>
      <c r="P41" s="4" t="s">
        <v>485</v>
      </c>
      <c r="Q41" s="4" t="s">
        <v>414</v>
      </c>
      <c r="R41" s="4" t="s">
        <v>399</v>
      </c>
      <c r="S41" s="4" t="s">
        <v>455</v>
      </c>
      <c r="T41" s="4" t="s">
        <v>456</v>
      </c>
      <c r="U41" s="4">
        <v>42000</v>
      </c>
      <c r="V41" s="4">
        <v>52000</v>
      </c>
      <c r="W41" s="7">
        <v>732160</v>
      </c>
      <c r="X41" s="58">
        <v>8.2167832167832161E-2</v>
      </c>
    </row>
    <row r="42" spans="1:24" x14ac:dyDescent="0.25">
      <c r="A42" s="17" t="s">
        <v>167</v>
      </c>
      <c r="B42" s="6">
        <v>45764</v>
      </c>
      <c r="C42" s="4" t="s">
        <v>168</v>
      </c>
      <c r="D42" s="4" t="s">
        <v>48</v>
      </c>
      <c r="E42" s="4" t="s">
        <v>91</v>
      </c>
      <c r="F42" s="7">
        <v>6</v>
      </c>
      <c r="G42" s="7">
        <v>0</v>
      </c>
      <c r="H42" s="7">
        <v>20400</v>
      </c>
      <c r="I42" s="4">
        <v>13200</v>
      </c>
      <c r="J42" s="7">
        <v>7200</v>
      </c>
      <c r="K42" s="4" t="s">
        <v>39</v>
      </c>
      <c r="L42" s="4" t="s">
        <v>45</v>
      </c>
      <c r="M42" s="4" t="s">
        <v>39</v>
      </c>
      <c r="N42" s="7">
        <v>20400</v>
      </c>
      <c r="O42" s="4" t="s">
        <v>510</v>
      </c>
      <c r="P42" s="4" t="s">
        <v>485</v>
      </c>
      <c r="Q42" s="4" t="s">
        <v>424</v>
      </c>
      <c r="R42" s="4" t="s">
        <v>402</v>
      </c>
      <c r="S42" s="4" t="s">
        <v>467</v>
      </c>
      <c r="T42" s="4" t="s">
        <v>456</v>
      </c>
      <c r="U42" s="4">
        <v>2200</v>
      </c>
      <c r="V42" s="4">
        <v>3400</v>
      </c>
      <c r="W42" s="7">
        <v>20400</v>
      </c>
      <c r="X42" s="58">
        <v>0.35294117647058831</v>
      </c>
    </row>
    <row r="43" spans="1:24" x14ac:dyDescent="0.25">
      <c r="A43" s="17" t="s">
        <v>169</v>
      </c>
      <c r="B43" s="6">
        <v>45749</v>
      </c>
      <c r="C43" s="4" t="s">
        <v>170</v>
      </c>
      <c r="D43" s="4" t="s">
        <v>171</v>
      </c>
      <c r="E43" s="4" t="s">
        <v>62</v>
      </c>
      <c r="F43" s="7">
        <v>13</v>
      </c>
      <c r="G43" s="7">
        <v>0.12</v>
      </c>
      <c r="H43" s="7">
        <v>120120</v>
      </c>
      <c r="I43" s="4">
        <v>97500</v>
      </c>
      <c r="J43" s="7">
        <v>22620</v>
      </c>
      <c r="K43" s="4" t="s">
        <v>34</v>
      </c>
      <c r="L43" s="4" t="s">
        <v>35</v>
      </c>
      <c r="M43" s="4" t="s">
        <v>34</v>
      </c>
      <c r="N43" s="7">
        <v>120120</v>
      </c>
      <c r="O43" s="4" t="s">
        <v>558</v>
      </c>
      <c r="P43" s="4" t="s">
        <v>478</v>
      </c>
      <c r="Q43" s="4" t="s">
        <v>446</v>
      </c>
      <c r="R43" s="4" t="s">
        <v>395</v>
      </c>
      <c r="S43" s="4" t="s">
        <v>464</v>
      </c>
      <c r="T43" s="4" t="s">
        <v>463</v>
      </c>
      <c r="U43" s="4">
        <v>7500</v>
      </c>
      <c r="V43" s="4">
        <v>10500</v>
      </c>
      <c r="W43" s="7">
        <v>120120</v>
      </c>
      <c r="X43" s="58">
        <v>0.18831168831168829</v>
      </c>
    </row>
    <row r="44" spans="1:24" x14ac:dyDescent="0.25">
      <c r="A44" s="17" t="s">
        <v>172</v>
      </c>
      <c r="B44" s="6">
        <v>45763</v>
      </c>
      <c r="C44" s="4" t="s">
        <v>173</v>
      </c>
      <c r="D44" s="4" t="s">
        <v>174</v>
      </c>
      <c r="E44" s="4" t="s">
        <v>91</v>
      </c>
      <c r="F44" s="7">
        <v>16</v>
      </c>
      <c r="G44" s="7">
        <v>0</v>
      </c>
      <c r="H44" s="7">
        <v>54400</v>
      </c>
      <c r="I44" s="4">
        <v>35200</v>
      </c>
      <c r="J44" s="7">
        <v>19200</v>
      </c>
      <c r="K44" s="4" t="s">
        <v>102</v>
      </c>
      <c r="L44" s="4" t="s">
        <v>35</v>
      </c>
      <c r="M44" s="4" t="s">
        <v>102</v>
      </c>
      <c r="N44" s="7">
        <v>54400</v>
      </c>
      <c r="O44" s="4" t="s">
        <v>578</v>
      </c>
      <c r="P44" s="4" t="s">
        <v>579</v>
      </c>
      <c r="Q44" s="4" t="s">
        <v>449</v>
      </c>
      <c r="R44" s="4" t="s">
        <v>395</v>
      </c>
      <c r="S44" s="4" t="s">
        <v>467</v>
      </c>
      <c r="T44" s="4" t="s">
        <v>456</v>
      </c>
      <c r="U44" s="4">
        <v>2200</v>
      </c>
      <c r="V44" s="4">
        <v>3400</v>
      </c>
      <c r="W44" s="7">
        <v>54400</v>
      </c>
      <c r="X44" s="58">
        <v>0.35294117647058831</v>
      </c>
    </row>
    <row r="45" spans="1:24" x14ac:dyDescent="0.25">
      <c r="A45" s="17" t="s">
        <v>175</v>
      </c>
      <c r="B45" s="6">
        <v>45805</v>
      </c>
      <c r="C45" s="4" t="s">
        <v>147</v>
      </c>
      <c r="D45" s="4" t="s">
        <v>48</v>
      </c>
      <c r="E45" s="4" t="s">
        <v>78</v>
      </c>
      <c r="F45" s="7">
        <v>17</v>
      </c>
      <c r="G45" s="7">
        <v>0.12</v>
      </c>
      <c r="H45" s="7">
        <v>134640</v>
      </c>
      <c r="I45" s="4">
        <v>110500</v>
      </c>
      <c r="J45" s="7">
        <v>24140</v>
      </c>
      <c r="K45" s="4" t="s">
        <v>39</v>
      </c>
      <c r="L45" s="4" t="s">
        <v>35</v>
      </c>
      <c r="M45" s="4" t="s">
        <v>39</v>
      </c>
      <c r="N45" s="7">
        <v>134640</v>
      </c>
      <c r="O45" s="4" t="s">
        <v>493</v>
      </c>
      <c r="P45" s="4" t="s">
        <v>485</v>
      </c>
      <c r="Q45" s="4" t="s">
        <v>424</v>
      </c>
      <c r="R45" s="4" t="s">
        <v>402</v>
      </c>
      <c r="S45" s="4" t="s">
        <v>465</v>
      </c>
      <c r="T45" s="4" t="s">
        <v>463</v>
      </c>
      <c r="U45" s="4">
        <v>6500</v>
      </c>
      <c r="V45" s="4">
        <v>9000</v>
      </c>
      <c r="W45" s="7">
        <v>134640</v>
      </c>
      <c r="X45" s="58">
        <v>0.17929292929292931</v>
      </c>
    </row>
    <row r="46" spans="1:24" x14ac:dyDescent="0.25">
      <c r="A46" s="17" t="s">
        <v>176</v>
      </c>
      <c r="B46" s="6">
        <v>45827</v>
      </c>
      <c r="C46" s="4" t="s">
        <v>177</v>
      </c>
      <c r="D46" s="4" t="s">
        <v>161</v>
      </c>
      <c r="E46" s="4" t="s">
        <v>95</v>
      </c>
      <c r="F46" s="7">
        <v>4</v>
      </c>
      <c r="G46" s="7">
        <v>0.05</v>
      </c>
      <c r="H46" s="7">
        <v>197600</v>
      </c>
      <c r="I46" s="4">
        <v>168000</v>
      </c>
      <c r="J46" s="7">
        <v>29600</v>
      </c>
      <c r="K46" s="4" t="s">
        <v>39</v>
      </c>
      <c r="L46" s="4" t="s">
        <v>45</v>
      </c>
      <c r="M46" s="4" t="s">
        <v>39</v>
      </c>
      <c r="N46" s="7">
        <v>197600</v>
      </c>
      <c r="O46" s="4" t="s">
        <v>570</v>
      </c>
      <c r="P46" s="4" t="s">
        <v>478</v>
      </c>
      <c r="Q46" s="4" t="s">
        <v>434</v>
      </c>
      <c r="R46" s="4" t="s">
        <v>402</v>
      </c>
      <c r="S46" s="4" t="s">
        <v>455</v>
      </c>
      <c r="T46" s="4" t="s">
        <v>456</v>
      </c>
      <c r="U46" s="4">
        <v>42000</v>
      </c>
      <c r="V46" s="4">
        <v>52000</v>
      </c>
      <c r="W46" s="7">
        <v>197600</v>
      </c>
      <c r="X46" s="58">
        <v>0.1497975708502024</v>
      </c>
    </row>
    <row r="47" spans="1:24" x14ac:dyDescent="0.25">
      <c r="A47" s="17" t="s">
        <v>178</v>
      </c>
      <c r="B47" s="6">
        <v>45671</v>
      </c>
      <c r="C47" s="4" t="s">
        <v>572</v>
      </c>
      <c r="D47" s="4" t="s">
        <v>42</v>
      </c>
      <c r="E47" s="4" t="s">
        <v>78</v>
      </c>
      <c r="F47" s="7">
        <v>18</v>
      </c>
      <c r="G47" s="7">
        <v>0.08</v>
      </c>
      <c r="H47" s="7">
        <v>149040</v>
      </c>
      <c r="I47" s="4">
        <v>117000</v>
      </c>
      <c r="J47" s="7">
        <v>32040</v>
      </c>
      <c r="K47" s="4" t="s">
        <v>44</v>
      </c>
      <c r="L47" s="4" t="s">
        <v>45</v>
      </c>
      <c r="M47" s="4" t="s">
        <v>44</v>
      </c>
      <c r="N47" s="7">
        <v>149040</v>
      </c>
      <c r="O47" s="4" t="s">
        <v>573</v>
      </c>
      <c r="P47" s="4" t="s">
        <v>478</v>
      </c>
      <c r="Q47" s="4" t="s">
        <v>440</v>
      </c>
      <c r="R47" s="4" t="s">
        <v>395</v>
      </c>
      <c r="S47" s="4" t="s">
        <v>465</v>
      </c>
      <c r="T47" s="4" t="s">
        <v>463</v>
      </c>
      <c r="U47" s="4">
        <v>6500</v>
      </c>
      <c r="V47" s="4">
        <v>9000</v>
      </c>
      <c r="W47" s="7">
        <v>149040</v>
      </c>
      <c r="X47" s="58">
        <v>0.214975845410628</v>
      </c>
    </row>
    <row r="48" spans="1:24" x14ac:dyDescent="0.25">
      <c r="A48" s="17" t="s">
        <v>180</v>
      </c>
      <c r="B48" s="6">
        <v>45783</v>
      </c>
      <c r="C48" s="4" t="s">
        <v>181</v>
      </c>
      <c r="D48" s="4" t="s">
        <v>182</v>
      </c>
      <c r="E48" s="4" t="s">
        <v>53</v>
      </c>
      <c r="F48" s="7">
        <v>6</v>
      </c>
      <c r="G48" s="7">
        <v>0</v>
      </c>
      <c r="H48" s="7">
        <v>25200</v>
      </c>
      <c r="I48" s="4">
        <v>16800</v>
      </c>
      <c r="J48" s="7">
        <v>8400</v>
      </c>
      <c r="K48" s="4" t="s">
        <v>102</v>
      </c>
      <c r="L48" s="4" t="s">
        <v>122</v>
      </c>
      <c r="M48" s="4" t="s">
        <v>102</v>
      </c>
      <c r="N48" s="7">
        <v>25200</v>
      </c>
      <c r="O48" s="4" t="s">
        <v>541</v>
      </c>
      <c r="P48" s="4" t="s">
        <v>535</v>
      </c>
      <c r="Q48" s="4" t="s">
        <v>404</v>
      </c>
      <c r="R48" s="4" t="s">
        <v>395</v>
      </c>
      <c r="S48" s="4" t="s">
        <v>473</v>
      </c>
      <c r="T48" s="4" t="s">
        <v>456</v>
      </c>
      <c r="U48" s="4">
        <v>2800</v>
      </c>
      <c r="V48" s="4">
        <v>4200</v>
      </c>
      <c r="W48" s="7">
        <v>25200</v>
      </c>
      <c r="X48" s="58">
        <v>0.33333333333333331</v>
      </c>
    </row>
    <row r="49" spans="1:24" x14ac:dyDescent="0.25">
      <c r="A49" s="17" t="s">
        <v>183</v>
      </c>
      <c r="B49" s="6">
        <v>45718</v>
      </c>
      <c r="C49" s="4" t="s">
        <v>184</v>
      </c>
      <c r="D49" s="4" t="s">
        <v>185</v>
      </c>
      <c r="E49" s="4" t="s">
        <v>85</v>
      </c>
      <c r="F49" s="7">
        <v>13</v>
      </c>
      <c r="G49" s="7">
        <v>0.05</v>
      </c>
      <c r="H49" s="7">
        <v>80275</v>
      </c>
      <c r="I49" s="4">
        <v>54600</v>
      </c>
      <c r="J49" s="7">
        <v>25675</v>
      </c>
      <c r="K49" s="4" t="s">
        <v>102</v>
      </c>
      <c r="L49" s="4" t="s">
        <v>35</v>
      </c>
      <c r="M49" s="4" t="s">
        <v>102</v>
      </c>
      <c r="N49" s="7">
        <v>80275</v>
      </c>
      <c r="O49" s="4" t="s">
        <v>499</v>
      </c>
      <c r="P49" s="4" t="s">
        <v>485</v>
      </c>
      <c r="Q49" s="4" t="s">
        <v>448</v>
      </c>
      <c r="R49" s="4" t="s">
        <v>402</v>
      </c>
      <c r="S49" s="4" t="s">
        <v>474</v>
      </c>
      <c r="T49" s="4" t="s">
        <v>463</v>
      </c>
      <c r="U49" s="4">
        <v>4200</v>
      </c>
      <c r="V49" s="4">
        <v>6500</v>
      </c>
      <c r="W49" s="7">
        <v>80275</v>
      </c>
      <c r="X49" s="58">
        <v>0.31983805668016202</v>
      </c>
    </row>
    <row r="50" spans="1:24" x14ac:dyDescent="0.25">
      <c r="A50" s="17" t="s">
        <v>186</v>
      </c>
      <c r="B50" s="6">
        <v>45688</v>
      </c>
      <c r="C50" s="4" t="s">
        <v>141</v>
      </c>
      <c r="D50" s="4" t="s">
        <v>52</v>
      </c>
      <c r="E50" s="4" t="s">
        <v>67</v>
      </c>
      <c r="F50" s="7">
        <v>15</v>
      </c>
      <c r="G50" s="7">
        <v>0.03</v>
      </c>
      <c r="H50" s="7">
        <v>98940</v>
      </c>
      <c r="I50" s="4">
        <v>67500</v>
      </c>
      <c r="J50" s="7">
        <v>31440</v>
      </c>
      <c r="K50" s="4" t="s">
        <v>187</v>
      </c>
      <c r="L50" s="4" t="s">
        <v>45</v>
      </c>
      <c r="M50" s="4" t="s">
        <v>39</v>
      </c>
      <c r="N50" s="7">
        <v>98940</v>
      </c>
      <c r="O50" s="4" t="s">
        <v>540</v>
      </c>
      <c r="P50" s="4" t="s">
        <v>535</v>
      </c>
      <c r="Q50" s="4" t="s">
        <v>429</v>
      </c>
      <c r="R50" s="4" t="s">
        <v>395</v>
      </c>
      <c r="S50" s="4" t="s">
        <v>466</v>
      </c>
      <c r="T50" s="4" t="s">
        <v>456</v>
      </c>
      <c r="U50" s="4">
        <v>4500</v>
      </c>
      <c r="V50" s="4">
        <v>6800</v>
      </c>
      <c r="W50" s="7">
        <v>98940</v>
      </c>
      <c r="X50" s="58">
        <v>0.31776834445118252</v>
      </c>
    </row>
    <row r="51" spans="1:24" x14ac:dyDescent="0.25">
      <c r="A51" s="17" t="s">
        <v>188</v>
      </c>
      <c r="B51" s="6">
        <v>45658</v>
      </c>
      <c r="C51" s="4" t="s">
        <v>189</v>
      </c>
      <c r="D51" s="4" t="s">
        <v>38</v>
      </c>
      <c r="E51" s="4" t="s">
        <v>81</v>
      </c>
      <c r="F51" s="7">
        <v>18</v>
      </c>
      <c r="G51" s="7">
        <v>0.08</v>
      </c>
      <c r="H51" s="7">
        <v>149040</v>
      </c>
      <c r="I51" s="4">
        <v>117000</v>
      </c>
      <c r="J51" s="7">
        <v>32040</v>
      </c>
      <c r="K51" s="4" t="s">
        <v>39</v>
      </c>
      <c r="L51" s="4" t="s">
        <v>35</v>
      </c>
      <c r="M51" s="4" t="s">
        <v>39</v>
      </c>
      <c r="N51" s="7">
        <v>149040</v>
      </c>
      <c r="O51" s="4" t="s">
        <v>533</v>
      </c>
      <c r="P51" s="4" t="s">
        <v>520</v>
      </c>
      <c r="Q51" s="4" t="s">
        <v>427</v>
      </c>
      <c r="R51" s="4" t="s">
        <v>399</v>
      </c>
      <c r="S51" s="4" t="s">
        <v>470</v>
      </c>
      <c r="T51" s="4" t="s">
        <v>456</v>
      </c>
      <c r="U51" s="4">
        <v>6500</v>
      </c>
      <c r="V51" s="4">
        <v>9000</v>
      </c>
      <c r="W51" s="7">
        <v>149040</v>
      </c>
      <c r="X51" s="58">
        <v>0.214975845410628</v>
      </c>
    </row>
    <row r="52" spans="1:24" x14ac:dyDescent="0.25">
      <c r="A52" s="17" t="s">
        <v>190</v>
      </c>
      <c r="B52" s="6">
        <v>45825</v>
      </c>
      <c r="C52" s="4" t="s">
        <v>191</v>
      </c>
      <c r="D52" s="4" t="s">
        <v>192</v>
      </c>
      <c r="E52" s="4" t="s">
        <v>81</v>
      </c>
      <c r="F52" s="7">
        <v>18</v>
      </c>
      <c r="G52" s="7">
        <v>0</v>
      </c>
      <c r="H52" s="7">
        <v>162000</v>
      </c>
      <c r="I52" s="4">
        <v>117000</v>
      </c>
      <c r="J52" s="7">
        <v>45000</v>
      </c>
      <c r="K52" s="4" t="s">
        <v>34</v>
      </c>
      <c r="L52" s="4" t="s">
        <v>35</v>
      </c>
      <c r="M52" s="4" t="s">
        <v>34</v>
      </c>
      <c r="N52" s="7">
        <v>162000</v>
      </c>
      <c r="O52" s="4" t="s">
        <v>567</v>
      </c>
      <c r="P52" s="4" t="s">
        <v>478</v>
      </c>
      <c r="Q52" s="4" t="s">
        <v>393</v>
      </c>
      <c r="R52" s="4" t="s">
        <v>395</v>
      </c>
      <c r="S52" s="4" t="s">
        <v>470</v>
      </c>
      <c r="T52" s="4" t="s">
        <v>456</v>
      </c>
      <c r="U52" s="4">
        <v>6500</v>
      </c>
      <c r="V52" s="4">
        <v>9000</v>
      </c>
      <c r="W52" s="7">
        <v>162000</v>
      </c>
      <c r="X52" s="58">
        <v>0.27777777777777779</v>
      </c>
    </row>
    <row r="53" spans="1:24" x14ac:dyDescent="0.25">
      <c r="A53" s="17" t="s">
        <v>193</v>
      </c>
      <c r="B53" s="6">
        <v>45801</v>
      </c>
      <c r="C53" s="4" t="s">
        <v>194</v>
      </c>
      <c r="D53" s="4" t="s">
        <v>158</v>
      </c>
      <c r="E53" s="4" t="s">
        <v>195</v>
      </c>
      <c r="F53" s="7">
        <v>15</v>
      </c>
      <c r="G53" s="7">
        <v>0.03</v>
      </c>
      <c r="H53" s="7">
        <v>16005</v>
      </c>
      <c r="I53" s="4">
        <v>9750</v>
      </c>
      <c r="J53" s="7">
        <v>6255</v>
      </c>
      <c r="K53" s="4" t="s">
        <v>44</v>
      </c>
      <c r="L53" s="4" t="s">
        <v>35</v>
      </c>
      <c r="M53" s="4" t="s">
        <v>44</v>
      </c>
      <c r="N53" s="7">
        <v>16005</v>
      </c>
      <c r="O53" s="4" t="s">
        <v>591</v>
      </c>
      <c r="P53" s="4" t="s">
        <v>590</v>
      </c>
      <c r="Q53" s="4" t="s">
        <v>430</v>
      </c>
      <c r="R53" s="4" t="s">
        <v>395</v>
      </c>
      <c r="S53" s="4" t="s">
        <v>461</v>
      </c>
      <c r="T53" s="4" t="s">
        <v>460</v>
      </c>
      <c r="U53" s="4">
        <v>650</v>
      </c>
      <c r="V53" s="4">
        <v>1100</v>
      </c>
      <c r="W53" s="7">
        <v>16005</v>
      </c>
      <c r="X53" s="58">
        <v>0.39081537019681351</v>
      </c>
    </row>
    <row r="54" spans="1:24" x14ac:dyDescent="0.25">
      <c r="A54" s="17" t="s">
        <v>196</v>
      </c>
      <c r="B54" s="6">
        <v>45826</v>
      </c>
      <c r="C54" s="4" t="s">
        <v>197</v>
      </c>
      <c r="D54" s="4" t="s">
        <v>74</v>
      </c>
      <c r="E54" s="4" t="s">
        <v>33</v>
      </c>
      <c r="F54" s="7">
        <v>4</v>
      </c>
      <c r="G54" s="7">
        <v>0</v>
      </c>
      <c r="H54" s="7">
        <v>14400</v>
      </c>
      <c r="I54" s="4">
        <v>9600</v>
      </c>
      <c r="J54" s="7">
        <v>4800</v>
      </c>
      <c r="K54" s="4" t="s">
        <v>63</v>
      </c>
      <c r="L54" s="4" t="s">
        <v>35</v>
      </c>
      <c r="M54" s="4" t="s">
        <v>63</v>
      </c>
      <c r="N54" s="7">
        <v>14400</v>
      </c>
      <c r="O54" s="4" t="s">
        <v>513</v>
      </c>
      <c r="P54" s="4" t="s">
        <v>485</v>
      </c>
      <c r="Q54" s="4" t="s">
        <v>431</v>
      </c>
      <c r="R54" s="4" t="s">
        <v>402</v>
      </c>
      <c r="S54" s="4" t="s">
        <v>475</v>
      </c>
      <c r="T54" s="4" t="s">
        <v>460</v>
      </c>
      <c r="U54" s="4">
        <v>2400</v>
      </c>
      <c r="V54" s="4">
        <v>3600</v>
      </c>
      <c r="W54" s="7">
        <v>14400</v>
      </c>
      <c r="X54" s="58">
        <v>0.33333333333333331</v>
      </c>
    </row>
    <row r="55" spans="1:24" x14ac:dyDescent="0.25">
      <c r="A55" s="17" t="s">
        <v>198</v>
      </c>
      <c r="B55" s="6">
        <v>45685</v>
      </c>
      <c r="C55" s="4" t="s">
        <v>205</v>
      </c>
      <c r="D55" s="4" t="s">
        <v>174</v>
      </c>
      <c r="E55" s="4" t="s">
        <v>49</v>
      </c>
      <c r="F55" s="7">
        <v>12</v>
      </c>
      <c r="G55" s="7">
        <v>0.1</v>
      </c>
      <c r="H55" s="7">
        <v>51840</v>
      </c>
      <c r="I55" s="4">
        <v>38400</v>
      </c>
      <c r="J55" s="7">
        <v>13440</v>
      </c>
      <c r="K55" s="4" t="s">
        <v>102</v>
      </c>
      <c r="L55" s="4" t="s">
        <v>45</v>
      </c>
      <c r="M55" s="4" t="s">
        <v>102</v>
      </c>
      <c r="N55" s="7">
        <v>51840</v>
      </c>
      <c r="O55" s="4" t="s">
        <v>563</v>
      </c>
      <c r="P55" s="4" t="s">
        <v>478</v>
      </c>
      <c r="Q55" s="4" t="s">
        <v>449</v>
      </c>
      <c r="R55" s="4" t="s">
        <v>395</v>
      </c>
      <c r="S55" s="4" t="s">
        <v>472</v>
      </c>
      <c r="T55" s="4" t="s">
        <v>456</v>
      </c>
      <c r="U55" s="4">
        <v>3200</v>
      </c>
      <c r="V55" s="4">
        <v>4800</v>
      </c>
      <c r="W55" s="7">
        <v>51840</v>
      </c>
      <c r="X55" s="58">
        <v>0.25925925925925919</v>
      </c>
    </row>
    <row r="56" spans="1:24" x14ac:dyDescent="0.25">
      <c r="A56" s="17" t="s">
        <v>200</v>
      </c>
      <c r="B56" s="6">
        <v>45688</v>
      </c>
      <c r="C56" s="4" t="s">
        <v>201</v>
      </c>
      <c r="D56" s="4" t="s">
        <v>202</v>
      </c>
      <c r="E56" s="4" t="s">
        <v>145</v>
      </c>
      <c r="F56" s="7">
        <v>7</v>
      </c>
      <c r="G56" s="7">
        <v>0</v>
      </c>
      <c r="H56" s="7">
        <v>17500</v>
      </c>
      <c r="I56" s="4">
        <v>11200</v>
      </c>
      <c r="J56" s="7">
        <v>6300</v>
      </c>
      <c r="K56" s="4" t="s">
        <v>102</v>
      </c>
      <c r="L56" s="4" t="s">
        <v>35</v>
      </c>
      <c r="M56" s="4" t="s">
        <v>102</v>
      </c>
      <c r="N56" s="7">
        <v>17500</v>
      </c>
      <c r="O56" s="4" t="s">
        <v>562</v>
      </c>
      <c r="P56" s="4" t="s">
        <v>478</v>
      </c>
      <c r="Q56" s="4" t="s">
        <v>420</v>
      </c>
      <c r="R56" s="4" t="s">
        <v>395</v>
      </c>
      <c r="S56" s="4" t="s">
        <v>469</v>
      </c>
      <c r="T56" s="4" t="s">
        <v>460</v>
      </c>
      <c r="U56" s="4">
        <v>1600</v>
      </c>
      <c r="V56" s="4">
        <v>2500</v>
      </c>
      <c r="W56" s="7">
        <v>17500</v>
      </c>
      <c r="X56" s="58">
        <v>0.36</v>
      </c>
    </row>
    <row r="57" spans="1:24" x14ac:dyDescent="0.25">
      <c r="A57" s="17" t="s">
        <v>203</v>
      </c>
      <c r="B57" s="6">
        <v>45764</v>
      </c>
      <c r="C57" s="4" t="s">
        <v>572</v>
      </c>
      <c r="D57" s="4" t="s">
        <v>98</v>
      </c>
      <c r="E57" s="4" t="s">
        <v>67</v>
      </c>
      <c r="F57" s="7">
        <v>4</v>
      </c>
      <c r="G57" s="7">
        <v>0.12</v>
      </c>
      <c r="H57" s="7">
        <v>23936</v>
      </c>
      <c r="I57" s="4">
        <v>18000</v>
      </c>
      <c r="J57" s="7">
        <v>5936</v>
      </c>
      <c r="K57" s="4" t="s">
        <v>39</v>
      </c>
      <c r="L57" s="4" t="s">
        <v>35</v>
      </c>
      <c r="M57" s="4" t="s">
        <v>39</v>
      </c>
      <c r="N57" s="7">
        <v>23936</v>
      </c>
      <c r="O57" s="4" t="s">
        <v>573</v>
      </c>
      <c r="P57" s="4" t="s">
        <v>478</v>
      </c>
      <c r="Q57" s="4" t="s">
        <v>428</v>
      </c>
      <c r="R57" s="4" t="s">
        <v>399</v>
      </c>
      <c r="S57" s="4" t="s">
        <v>466</v>
      </c>
      <c r="T57" s="4" t="s">
        <v>456</v>
      </c>
      <c r="U57" s="4">
        <v>4500</v>
      </c>
      <c r="V57" s="4">
        <v>6800</v>
      </c>
      <c r="W57" s="7">
        <v>23936</v>
      </c>
      <c r="X57" s="58">
        <v>0.2479946524064171</v>
      </c>
    </row>
    <row r="58" spans="1:24" x14ac:dyDescent="0.25">
      <c r="A58" s="17" t="s">
        <v>204</v>
      </c>
      <c r="B58" s="6">
        <v>45826</v>
      </c>
      <c r="C58" s="4" t="s">
        <v>205</v>
      </c>
      <c r="D58" s="4" t="s">
        <v>161</v>
      </c>
      <c r="E58" s="4" t="s">
        <v>43</v>
      </c>
      <c r="F58" s="7">
        <v>15</v>
      </c>
      <c r="G58" s="7">
        <v>0.05</v>
      </c>
      <c r="H58" s="7">
        <v>27075</v>
      </c>
      <c r="I58" s="4">
        <v>18000</v>
      </c>
      <c r="J58" s="7">
        <v>9075</v>
      </c>
      <c r="K58" s="4" t="s">
        <v>39</v>
      </c>
      <c r="L58" s="4" t="s">
        <v>35</v>
      </c>
      <c r="M58" s="4" t="s">
        <v>39</v>
      </c>
      <c r="N58" s="7">
        <v>27075</v>
      </c>
      <c r="O58" s="4" t="s">
        <v>563</v>
      </c>
      <c r="P58" s="4" t="s">
        <v>478</v>
      </c>
      <c r="Q58" s="4" t="s">
        <v>434</v>
      </c>
      <c r="R58" s="4" t="s">
        <v>402</v>
      </c>
      <c r="S58" s="4" t="s">
        <v>468</v>
      </c>
      <c r="T58" s="4" t="s">
        <v>460</v>
      </c>
      <c r="U58" s="4">
        <v>1200</v>
      </c>
      <c r="V58" s="4">
        <v>1900</v>
      </c>
      <c r="W58" s="7">
        <v>27075</v>
      </c>
      <c r="X58" s="58">
        <v>0.33518005540166212</v>
      </c>
    </row>
    <row r="59" spans="1:24" x14ac:dyDescent="0.25">
      <c r="A59" s="17" t="s">
        <v>206</v>
      </c>
      <c r="B59" s="6">
        <v>45768</v>
      </c>
      <c r="C59" s="4" t="s">
        <v>207</v>
      </c>
      <c r="D59" s="4" t="s">
        <v>174</v>
      </c>
      <c r="E59" s="4" t="s">
        <v>57</v>
      </c>
      <c r="F59" s="7">
        <v>2</v>
      </c>
      <c r="G59" s="7">
        <v>0.08</v>
      </c>
      <c r="H59" s="7">
        <v>9568</v>
      </c>
      <c r="I59" s="4">
        <v>7000</v>
      </c>
      <c r="J59" s="7">
        <v>2568</v>
      </c>
      <c r="K59" s="4" t="s">
        <v>102</v>
      </c>
      <c r="L59" s="4" t="s">
        <v>35</v>
      </c>
      <c r="M59" s="4" t="s">
        <v>102</v>
      </c>
      <c r="N59" s="7">
        <v>9568</v>
      </c>
      <c r="O59" s="4" t="s">
        <v>526</v>
      </c>
      <c r="P59" s="4" t="s">
        <v>520</v>
      </c>
      <c r="Q59" s="4" t="s">
        <v>449</v>
      </c>
      <c r="R59" s="4" t="s">
        <v>395</v>
      </c>
      <c r="S59" s="4" t="s">
        <v>477</v>
      </c>
      <c r="T59" s="4" t="s">
        <v>478</v>
      </c>
      <c r="U59" s="4">
        <v>3500</v>
      </c>
      <c r="V59" s="4">
        <v>5200</v>
      </c>
      <c r="W59" s="7">
        <v>9568</v>
      </c>
      <c r="X59" s="58">
        <v>0.26839464882943143</v>
      </c>
    </row>
    <row r="60" spans="1:24" x14ac:dyDescent="0.25">
      <c r="A60" s="17" t="s">
        <v>208</v>
      </c>
      <c r="B60" s="6">
        <v>45690</v>
      </c>
      <c r="C60" s="4" t="s">
        <v>119</v>
      </c>
      <c r="D60" s="4" t="s">
        <v>209</v>
      </c>
      <c r="E60" s="4" t="s">
        <v>85</v>
      </c>
      <c r="F60" s="7">
        <v>6</v>
      </c>
      <c r="G60" s="7">
        <v>0.1</v>
      </c>
      <c r="H60" s="7">
        <v>35100</v>
      </c>
      <c r="I60" s="4">
        <v>25200</v>
      </c>
      <c r="J60" s="7">
        <v>9900</v>
      </c>
      <c r="K60" s="4" t="s">
        <v>102</v>
      </c>
      <c r="L60" s="4" t="s">
        <v>35</v>
      </c>
      <c r="M60" s="4" t="s">
        <v>102</v>
      </c>
      <c r="N60" s="7">
        <v>35100</v>
      </c>
      <c r="O60" s="4" t="s">
        <v>566</v>
      </c>
      <c r="P60" s="4" t="s">
        <v>478</v>
      </c>
      <c r="Q60" s="4" t="s">
        <v>425</v>
      </c>
      <c r="R60" s="4" t="s">
        <v>395</v>
      </c>
      <c r="S60" s="4" t="s">
        <v>474</v>
      </c>
      <c r="T60" s="4" t="s">
        <v>463</v>
      </c>
      <c r="U60" s="4">
        <v>4200</v>
      </c>
      <c r="V60" s="4">
        <v>6500</v>
      </c>
      <c r="W60" s="7">
        <v>35100</v>
      </c>
      <c r="X60" s="58">
        <v>0.28205128205128199</v>
      </c>
    </row>
    <row r="61" spans="1:24" x14ac:dyDescent="0.25">
      <c r="A61" s="17" t="s">
        <v>210</v>
      </c>
      <c r="B61" s="6">
        <v>45813</v>
      </c>
      <c r="C61" s="4" t="s">
        <v>211</v>
      </c>
      <c r="D61" s="4" t="s">
        <v>209</v>
      </c>
      <c r="E61" s="4" t="s">
        <v>145</v>
      </c>
      <c r="F61" s="7">
        <v>13</v>
      </c>
      <c r="G61" s="7">
        <v>0.05</v>
      </c>
      <c r="H61" s="7">
        <v>30875</v>
      </c>
      <c r="I61" s="4">
        <v>20800</v>
      </c>
      <c r="J61" s="7">
        <v>10075</v>
      </c>
      <c r="K61" s="4" t="s">
        <v>102</v>
      </c>
      <c r="L61" s="4" t="s">
        <v>35</v>
      </c>
      <c r="M61" s="4" t="s">
        <v>102</v>
      </c>
      <c r="N61" s="7">
        <v>30875</v>
      </c>
      <c r="O61" s="4" t="s">
        <v>514</v>
      </c>
      <c r="P61" s="4" t="s">
        <v>485</v>
      </c>
      <c r="Q61" s="4" t="s">
        <v>425</v>
      </c>
      <c r="R61" s="4" t="s">
        <v>395</v>
      </c>
      <c r="S61" s="4" t="s">
        <v>469</v>
      </c>
      <c r="T61" s="4" t="s">
        <v>460</v>
      </c>
      <c r="U61" s="4">
        <v>1600</v>
      </c>
      <c r="V61" s="4">
        <v>2500</v>
      </c>
      <c r="W61" s="7">
        <v>30875</v>
      </c>
      <c r="X61" s="58">
        <v>0.32631578947368423</v>
      </c>
    </row>
    <row r="62" spans="1:24" x14ac:dyDescent="0.25">
      <c r="A62" s="17" t="s">
        <v>212</v>
      </c>
      <c r="B62" s="6">
        <v>45692</v>
      </c>
      <c r="C62" s="4" t="s">
        <v>213</v>
      </c>
      <c r="D62" s="4" t="s">
        <v>101</v>
      </c>
      <c r="E62" s="4" t="s">
        <v>33</v>
      </c>
      <c r="F62" s="7">
        <v>15</v>
      </c>
      <c r="G62" s="7">
        <v>0.12</v>
      </c>
      <c r="H62" s="7">
        <v>47520</v>
      </c>
      <c r="I62" s="4">
        <v>36000</v>
      </c>
      <c r="J62" s="7">
        <v>11520</v>
      </c>
      <c r="K62" s="4" t="s">
        <v>102</v>
      </c>
      <c r="L62" s="4" t="s">
        <v>122</v>
      </c>
      <c r="M62" s="4" t="s">
        <v>102</v>
      </c>
      <c r="N62" s="7">
        <v>47520</v>
      </c>
      <c r="O62" s="4" t="s">
        <v>554</v>
      </c>
      <c r="P62" s="4" t="s">
        <v>547</v>
      </c>
      <c r="Q62" s="4" t="s">
        <v>423</v>
      </c>
      <c r="R62" s="4" t="s">
        <v>402</v>
      </c>
      <c r="S62" s="4" t="s">
        <v>475</v>
      </c>
      <c r="T62" s="4" t="s">
        <v>460</v>
      </c>
      <c r="U62" s="4">
        <v>2400</v>
      </c>
      <c r="V62" s="4">
        <v>3600</v>
      </c>
      <c r="W62" s="7">
        <v>47520</v>
      </c>
      <c r="X62" s="58">
        <v>0.2424242424242424</v>
      </c>
    </row>
    <row r="63" spans="1:24" x14ac:dyDescent="0.25">
      <c r="A63" s="17" t="s">
        <v>214</v>
      </c>
      <c r="B63" s="6">
        <v>45738</v>
      </c>
      <c r="C63" s="4" t="s">
        <v>130</v>
      </c>
      <c r="D63" s="4" t="s">
        <v>182</v>
      </c>
      <c r="E63" s="4" t="s">
        <v>162</v>
      </c>
      <c r="F63" s="7">
        <v>18</v>
      </c>
      <c r="G63" s="7">
        <v>0</v>
      </c>
      <c r="H63" s="7">
        <v>253440</v>
      </c>
      <c r="I63" s="4">
        <v>207000</v>
      </c>
      <c r="J63" s="7">
        <v>46440</v>
      </c>
      <c r="K63" s="4" t="s">
        <v>102</v>
      </c>
      <c r="L63" s="4" t="s">
        <v>35</v>
      </c>
      <c r="M63" s="4" t="s">
        <v>102</v>
      </c>
      <c r="N63" s="7">
        <v>253440</v>
      </c>
      <c r="O63" s="4" t="s">
        <v>539</v>
      </c>
      <c r="P63" s="4" t="s">
        <v>535</v>
      </c>
      <c r="Q63" s="4" t="s">
        <v>404</v>
      </c>
      <c r="R63" s="4" t="s">
        <v>395</v>
      </c>
      <c r="S63" s="4" t="s">
        <v>471</v>
      </c>
      <c r="T63" s="4" t="s">
        <v>463</v>
      </c>
      <c r="U63" s="4">
        <v>11500</v>
      </c>
      <c r="V63" s="4">
        <v>16000</v>
      </c>
      <c r="W63" s="7">
        <v>288000</v>
      </c>
      <c r="X63" s="58">
        <v>0.18323863636363641</v>
      </c>
    </row>
    <row r="64" spans="1:24" x14ac:dyDescent="0.25">
      <c r="A64" s="17" t="s">
        <v>215</v>
      </c>
      <c r="B64" s="6">
        <v>45746</v>
      </c>
      <c r="C64" s="4" t="s">
        <v>216</v>
      </c>
      <c r="D64" s="4" t="s">
        <v>42</v>
      </c>
      <c r="E64" s="4" t="s">
        <v>49</v>
      </c>
      <c r="F64" s="7">
        <v>10</v>
      </c>
      <c r="G64" s="7">
        <v>0.1</v>
      </c>
      <c r="H64" s="7">
        <v>43200</v>
      </c>
      <c r="I64" s="4">
        <v>32000</v>
      </c>
      <c r="J64" s="7">
        <v>11200</v>
      </c>
      <c r="K64" s="4" t="s">
        <v>44</v>
      </c>
      <c r="L64" s="4" t="s">
        <v>35</v>
      </c>
      <c r="M64" s="4" t="s">
        <v>44</v>
      </c>
      <c r="N64" s="7">
        <v>43200</v>
      </c>
      <c r="O64" s="4" t="s">
        <v>589</v>
      </c>
      <c r="P64" s="4" t="s">
        <v>590</v>
      </c>
      <c r="Q64" s="4" t="s">
        <v>440</v>
      </c>
      <c r="R64" s="4" t="s">
        <v>395</v>
      </c>
      <c r="S64" s="4" t="s">
        <v>472</v>
      </c>
      <c r="T64" s="4" t="s">
        <v>456</v>
      </c>
      <c r="U64" s="4">
        <v>3200</v>
      </c>
      <c r="V64" s="4">
        <v>4800</v>
      </c>
      <c r="W64" s="7">
        <v>43200</v>
      </c>
      <c r="X64" s="58">
        <v>0.25925925925925919</v>
      </c>
    </row>
    <row r="65" spans="1:24" x14ac:dyDescent="0.25">
      <c r="A65" s="17" t="s">
        <v>217</v>
      </c>
      <c r="B65" s="6">
        <v>45687</v>
      </c>
      <c r="C65" s="4" t="s">
        <v>218</v>
      </c>
      <c r="D65" s="4" t="s">
        <v>219</v>
      </c>
      <c r="E65" s="4" t="s">
        <v>152</v>
      </c>
      <c r="F65" s="7">
        <v>11</v>
      </c>
      <c r="G65" s="7">
        <v>0.1</v>
      </c>
      <c r="H65" s="7">
        <v>27720</v>
      </c>
      <c r="I65" s="4">
        <v>19800</v>
      </c>
      <c r="J65" s="7">
        <v>7920</v>
      </c>
      <c r="K65" s="4" t="s">
        <v>63</v>
      </c>
      <c r="L65" s="4" t="s">
        <v>45</v>
      </c>
      <c r="M65" s="4" t="s">
        <v>63</v>
      </c>
      <c r="N65" s="7">
        <v>27720</v>
      </c>
      <c r="O65" s="4" t="s">
        <v>496</v>
      </c>
      <c r="P65" s="4" t="s">
        <v>485</v>
      </c>
      <c r="Q65" s="4" t="s">
        <v>416</v>
      </c>
      <c r="R65" s="4" t="s">
        <v>399</v>
      </c>
      <c r="S65" s="4" t="s">
        <v>459</v>
      </c>
      <c r="T65" s="4" t="s">
        <v>460</v>
      </c>
      <c r="U65" s="4">
        <v>1800</v>
      </c>
      <c r="V65" s="4">
        <v>2800</v>
      </c>
      <c r="W65" s="7">
        <v>27720</v>
      </c>
      <c r="X65" s="58">
        <v>0.2857142857142857</v>
      </c>
    </row>
    <row r="66" spans="1:24" x14ac:dyDescent="0.25">
      <c r="A66" s="17" t="s">
        <v>220</v>
      </c>
      <c r="B66" s="6">
        <v>45766</v>
      </c>
      <c r="C66" s="4" t="s">
        <v>221</v>
      </c>
      <c r="D66" s="4" t="s">
        <v>52</v>
      </c>
      <c r="E66" s="4" t="s">
        <v>162</v>
      </c>
      <c r="F66" s="7">
        <v>18</v>
      </c>
      <c r="G66" s="7">
        <v>0.03</v>
      </c>
      <c r="H66" s="7">
        <v>279360</v>
      </c>
      <c r="I66" s="4">
        <v>207000</v>
      </c>
      <c r="J66" s="7">
        <v>72360</v>
      </c>
      <c r="K66" s="4" t="s">
        <v>187</v>
      </c>
      <c r="L66" s="4" t="s">
        <v>35</v>
      </c>
      <c r="M66" s="4" t="s">
        <v>39</v>
      </c>
      <c r="N66" s="7">
        <v>279360</v>
      </c>
      <c r="O66" s="4" t="s">
        <v>503</v>
      </c>
      <c r="P66" s="4" t="s">
        <v>485</v>
      </c>
      <c r="Q66" s="4" t="s">
        <v>429</v>
      </c>
      <c r="R66" s="4" t="s">
        <v>395</v>
      </c>
      <c r="S66" s="4" t="s">
        <v>471</v>
      </c>
      <c r="T66" s="4" t="s">
        <v>463</v>
      </c>
      <c r="U66" s="4">
        <v>11500</v>
      </c>
      <c r="V66" s="4">
        <v>16000</v>
      </c>
      <c r="W66" s="7">
        <v>279360</v>
      </c>
      <c r="X66" s="58">
        <v>0.25902061855670111</v>
      </c>
    </row>
    <row r="67" spans="1:24" x14ac:dyDescent="0.25">
      <c r="A67" s="17" t="s">
        <v>222</v>
      </c>
      <c r="B67" s="6">
        <v>45726</v>
      </c>
      <c r="C67" s="4" t="s">
        <v>223</v>
      </c>
      <c r="D67" s="4" t="s">
        <v>182</v>
      </c>
      <c r="E67" s="4" t="s">
        <v>81</v>
      </c>
      <c r="F67" s="7">
        <v>2</v>
      </c>
      <c r="G67" s="7">
        <v>0</v>
      </c>
      <c r="H67" s="7">
        <v>18000</v>
      </c>
      <c r="I67" s="4">
        <v>13000</v>
      </c>
      <c r="J67" s="7">
        <v>5000</v>
      </c>
      <c r="K67" s="4" t="s">
        <v>102</v>
      </c>
      <c r="L67" s="4" t="s">
        <v>35</v>
      </c>
      <c r="M67" s="4" t="s">
        <v>102</v>
      </c>
      <c r="N67" s="7">
        <v>18000</v>
      </c>
      <c r="O67" s="4" t="s">
        <v>527</v>
      </c>
      <c r="P67" s="4" t="s">
        <v>520</v>
      </c>
      <c r="Q67" s="4" t="s">
        <v>404</v>
      </c>
      <c r="R67" s="4" t="s">
        <v>395</v>
      </c>
      <c r="S67" s="4" t="s">
        <v>470</v>
      </c>
      <c r="T67" s="4" t="s">
        <v>456</v>
      </c>
      <c r="U67" s="4">
        <v>6500</v>
      </c>
      <c r="V67" s="4">
        <v>9000</v>
      </c>
      <c r="W67" s="7">
        <v>18000</v>
      </c>
      <c r="X67" s="58">
        <v>0.27777777777777779</v>
      </c>
    </row>
    <row r="68" spans="1:24" x14ac:dyDescent="0.25">
      <c r="A68" s="17" t="s">
        <v>224</v>
      </c>
      <c r="B68" s="6">
        <v>45733</v>
      </c>
      <c r="C68" s="4" t="s">
        <v>225</v>
      </c>
      <c r="D68" s="4" t="s">
        <v>148</v>
      </c>
      <c r="E68" s="4" t="s">
        <v>78</v>
      </c>
      <c r="F68" s="7">
        <v>2</v>
      </c>
      <c r="G68" s="7">
        <v>0.1</v>
      </c>
      <c r="H68" s="7">
        <v>16200</v>
      </c>
      <c r="I68" s="4">
        <v>13000</v>
      </c>
      <c r="J68" s="7">
        <v>3200</v>
      </c>
      <c r="K68" s="4" t="s">
        <v>102</v>
      </c>
      <c r="L68" s="4" t="s">
        <v>45</v>
      </c>
      <c r="M68" s="4" t="s">
        <v>102</v>
      </c>
      <c r="N68" s="7">
        <v>16200</v>
      </c>
      <c r="O68" s="4" t="s">
        <v>487</v>
      </c>
      <c r="P68" s="4" t="s">
        <v>485</v>
      </c>
      <c r="Q68" s="4" t="s">
        <v>437</v>
      </c>
      <c r="R68" s="4" t="s">
        <v>402</v>
      </c>
      <c r="S68" s="4" t="s">
        <v>465</v>
      </c>
      <c r="T68" s="4" t="s">
        <v>463</v>
      </c>
      <c r="U68" s="4">
        <v>6500</v>
      </c>
      <c r="V68" s="4">
        <v>9000</v>
      </c>
      <c r="W68" s="7">
        <v>16200</v>
      </c>
      <c r="X68" s="58">
        <v>0.19753086419753091</v>
      </c>
    </row>
    <row r="69" spans="1:24" x14ac:dyDescent="0.25">
      <c r="A69" s="17" t="s">
        <v>226</v>
      </c>
      <c r="B69" s="6">
        <v>45715</v>
      </c>
      <c r="C69" s="4" t="s">
        <v>127</v>
      </c>
      <c r="D69" s="4" t="s">
        <v>227</v>
      </c>
      <c r="E69" s="4" t="s">
        <v>85</v>
      </c>
      <c r="F69" s="7">
        <v>18</v>
      </c>
      <c r="G69" s="7">
        <v>0.12</v>
      </c>
      <c r="H69" s="7">
        <v>102960</v>
      </c>
      <c r="I69" s="4">
        <v>75600</v>
      </c>
      <c r="J69" s="7">
        <v>27360</v>
      </c>
      <c r="K69" s="4" t="s">
        <v>44</v>
      </c>
      <c r="L69" s="4" t="s">
        <v>35</v>
      </c>
      <c r="M69" s="4" t="s">
        <v>44</v>
      </c>
      <c r="N69" s="7">
        <v>102960</v>
      </c>
      <c r="O69" s="4" t="s">
        <v>542</v>
      </c>
      <c r="P69" s="4" t="s">
        <v>535</v>
      </c>
      <c r="Q69" s="4" t="s">
        <v>401</v>
      </c>
      <c r="R69" s="4" t="s">
        <v>402</v>
      </c>
      <c r="S69" s="4" t="s">
        <v>474</v>
      </c>
      <c r="T69" s="4" t="s">
        <v>463</v>
      </c>
      <c r="U69" s="4">
        <v>4200</v>
      </c>
      <c r="V69" s="4">
        <v>6500</v>
      </c>
      <c r="W69" s="7">
        <v>102960</v>
      </c>
      <c r="X69" s="58">
        <v>0.26573426573426567</v>
      </c>
    </row>
    <row r="70" spans="1:24" x14ac:dyDescent="0.25">
      <c r="A70" s="17" t="s">
        <v>228</v>
      </c>
      <c r="B70" s="6">
        <v>45757</v>
      </c>
      <c r="C70" s="4" t="s">
        <v>111</v>
      </c>
      <c r="D70" s="4" t="s">
        <v>158</v>
      </c>
      <c r="E70" s="4" t="s">
        <v>57</v>
      </c>
      <c r="F70" s="7">
        <v>2</v>
      </c>
      <c r="G70" s="7">
        <v>0.05</v>
      </c>
      <c r="H70" s="7">
        <v>9880</v>
      </c>
      <c r="I70" s="4">
        <v>7000</v>
      </c>
      <c r="J70" s="7">
        <v>2880</v>
      </c>
      <c r="K70" s="4" t="s">
        <v>44</v>
      </c>
      <c r="L70" s="4" t="s">
        <v>122</v>
      </c>
      <c r="M70" s="4" t="s">
        <v>44</v>
      </c>
      <c r="N70" s="7">
        <v>9880</v>
      </c>
      <c r="O70" s="4" t="s">
        <v>509</v>
      </c>
      <c r="P70" s="4" t="s">
        <v>485</v>
      </c>
      <c r="Q70" s="4" t="s">
        <v>430</v>
      </c>
      <c r="R70" s="4" t="s">
        <v>395</v>
      </c>
      <c r="S70" s="4" t="s">
        <v>477</v>
      </c>
      <c r="T70" s="4" t="s">
        <v>478</v>
      </c>
      <c r="U70" s="4">
        <v>3500</v>
      </c>
      <c r="V70" s="4">
        <v>5200</v>
      </c>
      <c r="W70" s="7">
        <v>9880</v>
      </c>
      <c r="X70" s="58">
        <v>0.291497975708502</v>
      </c>
    </row>
    <row r="71" spans="1:24" x14ac:dyDescent="0.25">
      <c r="A71" s="17" t="s">
        <v>229</v>
      </c>
      <c r="B71" s="6">
        <v>45816</v>
      </c>
      <c r="C71" s="4" t="s">
        <v>230</v>
      </c>
      <c r="D71" s="4" t="s">
        <v>231</v>
      </c>
      <c r="E71" s="4" t="s">
        <v>95</v>
      </c>
      <c r="F71" s="7">
        <v>9</v>
      </c>
      <c r="G71" s="7">
        <v>0</v>
      </c>
      <c r="H71" s="7">
        <v>468000</v>
      </c>
      <c r="I71" s="4">
        <v>378000</v>
      </c>
      <c r="J71" s="7">
        <v>90000</v>
      </c>
      <c r="K71" s="4" t="s">
        <v>44</v>
      </c>
      <c r="L71" s="4" t="s">
        <v>35</v>
      </c>
      <c r="M71" s="4" t="s">
        <v>44</v>
      </c>
      <c r="N71" s="7">
        <v>468000</v>
      </c>
      <c r="O71" s="4" t="s">
        <v>559</v>
      </c>
      <c r="P71" s="4" t="s">
        <v>478</v>
      </c>
      <c r="Q71" s="4" t="s">
        <v>438</v>
      </c>
      <c r="R71" s="4" t="s">
        <v>395</v>
      </c>
      <c r="S71" s="4" t="s">
        <v>455</v>
      </c>
      <c r="T71" s="4" t="s">
        <v>456</v>
      </c>
      <c r="U71" s="4">
        <v>42000</v>
      </c>
      <c r="V71" s="4">
        <v>52000</v>
      </c>
      <c r="W71" s="7">
        <v>468000</v>
      </c>
      <c r="X71" s="58">
        <v>0.19230769230769229</v>
      </c>
    </row>
    <row r="72" spans="1:24" x14ac:dyDescent="0.25">
      <c r="A72" s="17" t="s">
        <v>232</v>
      </c>
      <c r="B72" s="6">
        <v>45808</v>
      </c>
      <c r="C72" s="4" t="s">
        <v>233</v>
      </c>
      <c r="D72" s="4" t="s">
        <v>234</v>
      </c>
      <c r="E72" s="4" t="s">
        <v>33</v>
      </c>
      <c r="F72" s="7">
        <v>12</v>
      </c>
      <c r="G72" s="7">
        <v>0.12</v>
      </c>
      <c r="H72" s="7">
        <v>38016</v>
      </c>
      <c r="I72" s="4">
        <v>28800</v>
      </c>
      <c r="J72" s="7">
        <v>9216</v>
      </c>
      <c r="K72" s="4" t="s">
        <v>63</v>
      </c>
      <c r="L72" s="4" t="s">
        <v>35</v>
      </c>
      <c r="M72" s="4" t="s">
        <v>63</v>
      </c>
      <c r="N72" s="7">
        <v>38016</v>
      </c>
      <c r="O72" s="4" t="s">
        <v>552</v>
      </c>
      <c r="P72" s="4" t="s">
        <v>547</v>
      </c>
      <c r="Q72" s="4" t="s">
        <v>444</v>
      </c>
      <c r="R72" s="4" t="s">
        <v>402</v>
      </c>
      <c r="S72" s="4" t="s">
        <v>475</v>
      </c>
      <c r="T72" s="4" t="s">
        <v>460</v>
      </c>
      <c r="U72" s="4">
        <v>2400</v>
      </c>
      <c r="V72" s="4">
        <v>3600</v>
      </c>
      <c r="W72" s="7">
        <v>38016</v>
      </c>
      <c r="X72" s="58">
        <v>0.2424242424242424</v>
      </c>
    </row>
    <row r="73" spans="1:24" x14ac:dyDescent="0.25">
      <c r="A73" s="17" t="s">
        <v>235</v>
      </c>
      <c r="B73" s="6">
        <v>45677</v>
      </c>
      <c r="C73" s="4" t="s">
        <v>236</v>
      </c>
      <c r="D73" s="4" t="s">
        <v>84</v>
      </c>
      <c r="E73" s="4" t="s">
        <v>49</v>
      </c>
      <c r="F73" s="7">
        <v>6</v>
      </c>
      <c r="G73" s="7">
        <v>0.1</v>
      </c>
      <c r="H73" s="7">
        <v>25920</v>
      </c>
      <c r="I73" s="4">
        <v>19200</v>
      </c>
      <c r="J73" s="7">
        <v>6720</v>
      </c>
      <c r="K73" s="4" t="s">
        <v>44</v>
      </c>
      <c r="L73" s="4" t="s">
        <v>45</v>
      </c>
      <c r="M73" s="4" t="s">
        <v>44</v>
      </c>
      <c r="N73" s="7">
        <v>25920</v>
      </c>
      <c r="O73" s="4" t="s">
        <v>597</v>
      </c>
      <c r="P73" s="4" t="s">
        <v>590</v>
      </c>
      <c r="Q73" s="4" t="s">
        <v>439</v>
      </c>
      <c r="R73" s="4" t="s">
        <v>395</v>
      </c>
      <c r="S73" s="4" t="s">
        <v>472</v>
      </c>
      <c r="T73" s="4" t="s">
        <v>456</v>
      </c>
      <c r="U73" s="4">
        <v>3200</v>
      </c>
      <c r="V73" s="4">
        <v>4800</v>
      </c>
      <c r="W73" s="7">
        <v>25920</v>
      </c>
      <c r="X73" s="58">
        <v>0.25925925925925919</v>
      </c>
    </row>
    <row r="74" spans="1:24" x14ac:dyDescent="0.25">
      <c r="A74" s="17" t="s">
        <v>237</v>
      </c>
      <c r="B74" s="6">
        <v>45725</v>
      </c>
      <c r="C74" s="4" t="s">
        <v>191</v>
      </c>
      <c r="D74" s="4" t="s">
        <v>107</v>
      </c>
      <c r="E74" s="4" t="s">
        <v>152</v>
      </c>
      <c r="F74" s="7">
        <v>9</v>
      </c>
      <c r="G74" s="7">
        <v>0.08</v>
      </c>
      <c r="H74" s="7">
        <v>23184</v>
      </c>
      <c r="I74" s="4">
        <v>16200</v>
      </c>
      <c r="J74" s="7">
        <v>6984</v>
      </c>
      <c r="K74" s="4" t="s">
        <v>34</v>
      </c>
      <c r="L74" s="4" t="s">
        <v>35</v>
      </c>
      <c r="M74" s="4" t="s">
        <v>34</v>
      </c>
      <c r="N74" s="7">
        <v>23184</v>
      </c>
      <c r="O74" s="4" t="s">
        <v>567</v>
      </c>
      <c r="P74" s="4" t="s">
        <v>478</v>
      </c>
      <c r="Q74" s="4" t="s">
        <v>415</v>
      </c>
      <c r="R74" s="4" t="s">
        <v>399</v>
      </c>
      <c r="S74" s="4" t="s">
        <v>459</v>
      </c>
      <c r="T74" s="4" t="s">
        <v>460</v>
      </c>
      <c r="U74" s="4">
        <v>1800</v>
      </c>
      <c r="V74" s="4">
        <v>2800</v>
      </c>
      <c r="W74" s="7">
        <v>23184</v>
      </c>
      <c r="X74" s="58">
        <v>0.30124223602484468</v>
      </c>
    </row>
    <row r="75" spans="1:24" x14ac:dyDescent="0.25">
      <c r="A75" s="17" t="s">
        <v>238</v>
      </c>
      <c r="B75" s="6">
        <v>45697</v>
      </c>
      <c r="C75" s="4" t="s">
        <v>239</v>
      </c>
      <c r="D75" s="4" t="s">
        <v>112</v>
      </c>
      <c r="E75" s="4" t="s">
        <v>49</v>
      </c>
      <c r="F75" s="7">
        <v>5</v>
      </c>
      <c r="G75" s="7">
        <v>0</v>
      </c>
      <c r="H75" s="7">
        <v>24000</v>
      </c>
      <c r="I75" s="4">
        <v>16000</v>
      </c>
      <c r="J75" s="7">
        <v>8000</v>
      </c>
      <c r="K75" s="4" t="s">
        <v>102</v>
      </c>
      <c r="L75" s="4" t="s">
        <v>122</v>
      </c>
      <c r="M75" s="4" t="s">
        <v>102</v>
      </c>
      <c r="N75" s="7">
        <v>24000</v>
      </c>
      <c r="O75" s="4" t="s">
        <v>568</v>
      </c>
      <c r="P75" s="4" t="s">
        <v>478</v>
      </c>
      <c r="Q75" s="4" t="s">
        <v>400</v>
      </c>
      <c r="R75" s="4" t="s">
        <v>399</v>
      </c>
      <c r="S75" s="4" t="s">
        <v>472</v>
      </c>
      <c r="T75" s="4" t="s">
        <v>456</v>
      </c>
      <c r="U75" s="4">
        <v>3200</v>
      </c>
      <c r="V75" s="4">
        <v>4800</v>
      </c>
      <c r="W75" s="7">
        <v>24000</v>
      </c>
      <c r="X75" s="58">
        <v>0.33333333333333331</v>
      </c>
    </row>
    <row r="76" spans="1:24" x14ac:dyDescent="0.25">
      <c r="A76" s="17" t="s">
        <v>240</v>
      </c>
      <c r="B76" s="6">
        <v>45804</v>
      </c>
      <c r="C76" s="4" t="s">
        <v>225</v>
      </c>
      <c r="D76" s="4" t="s">
        <v>241</v>
      </c>
      <c r="E76" s="4" t="s">
        <v>71</v>
      </c>
      <c r="F76" s="7">
        <v>10</v>
      </c>
      <c r="G76" s="7">
        <v>0.05</v>
      </c>
      <c r="H76" s="7">
        <v>68400</v>
      </c>
      <c r="I76" s="4">
        <v>48000</v>
      </c>
      <c r="J76" s="7">
        <v>20400</v>
      </c>
      <c r="K76" s="4" t="s">
        <v>63</v>
      </c>
      <c r="L76" s="4" t="s">
        <v>122</v>
      </c>
      <c r="M76" s="4" t="s">
        <v>63</v>
      </c>
      <c r="N76" s="7">
        <v>68400</v>
      </c>
      <c r="O76" s="4" t="s">
        <v>487</v>
      </c>
      <c r="P76" s="4" t="s">
        <v>485</v>
      </c>
      <c r="Q76" s="4" t="s">
        <v>432</v>
      </c>
      <c r="R76" s="4" t="s">
        <v>399</v>
      </c>
      <c r="S76" s="4" t="s">
        <v>462</v>
      </c>
      <c r="T76" s="4" t="s">
        <v>463</v>
      </c>
      <c r="U76" s="4">
        <v>4800</v>
      </c>
      <c r="V76" s="4">
        <v>7200</v>
      </c>
      <c r="W76" s="7">
        <v>68400</v>
      </c>
      <c r="X76" s="58">
        <v>0.2982456140350877</v>
      </c>
    </row>
    <row r="77" spans="1:24" x14ac:dyDescent="0.25">
      <c r="A77" s="17" t="s">
        <v>242</v>
      </c>
      <c r="B77" s="6">
        <v>45675</v>
      </c>
      <c r="C77" s="4" t="s">
        <v>243</v>
      </c>
      <c r="D77" s="4" t="s">
        <v>158</v>
      </c>
      <c r="E77" s="4" t="s">
        <v>71</v>
      </c>
      <c r="F77" s="7">
        <v>6</v>
      </c>
      <c r="G77" s="7">
        <v>0.08</v>
      </c>
      <c r="H77" s="7">
        <v>39744</v>
      </c>
      <c r="I77" s="4">
        <v>28800</v>
      </c>
      <c r="J77" s="7">
        <v>10944</v>
      </c>
      <c r="K77" s="4" t="s">
        <v>44</v>
      </c>
      <c r="L77" s="4" t="s">
        <v>45</v>
      </c>
      <c r="M77" s="4" t="s">
        <v>44</v>
      </c>
      <c r="N77" s="7">
        <v>39744</v>
      </c>
      <c r="O77" s="4" t="s">
        <v>508</v>
      </c>
      <c r="P77" s="4" t="s">
        <v>485</v>
      </c>
      <c r="Q77" s="4" t="s">
        <v>430</v>
      </c>
      <c r="R77" s="4" t="s">
        <v>395</v>
      </c>
      <c r="S77" s="4" t="s">
        <v>462</v>
      </c>
      <c r="T77" s="4" t="s">
        <v>463</v>
      </c>
      <c r="U77" s="4">
        <v>4800</v>
      </c>
      <c r="V77" s="4">
        <v>7200</v>
      </c>
      <c r="W77" s="7">
        <v>39744</v>
      </c>
      <c r="X77" s="58">
        <v>0.27536231884057971</v>
      </c>
    </row>
    <row r="78" spans="1:24" x14ac:dyDescent="0.25">
      <c r="A78" s="17" t="s">
        <v>244</v>
      </c>
      <c r="B78" s="6">
        <v>45827</v>
      </c>
      <c r="C78" s="4" t="s">
        <v>170</v>
      </c>
      <c r="D78" s="4" t="s">
        <v>151</v>
      </c>
      <c r="E78" s="4" t="s">
        <v>116</v>
      </c>
      <c r="F78" s="7">
        <v>8</v>
      </c>
      <c r="G78" s="7">
        <v>0</v>
      </c>
      <c r="H78" s="7">
        <v>96000</v>
      </c>
      <c r="I78" s="4">
        <v>68000</v>
      </c>
      <c r="J78" s="7">
        <v>28000</v>
      </c>
      <c r="K78" s="4" t="s">
        <v>63</v>
      </c>
      <c r="L78" s="4" t="s">
        <v>122</v>
      </c>
      <c r="M78" s="4" t="s">
        <v>63</v>
      </c>
      <c r="N78" s="7">
        <v>96000</v>
      </c>
      <c r="O78" s="4" t="s">
        <v>558</v>
      </c>
      <c r="P78" s="4" t="s">
        <v>478</v>
      </c>
      <c r="Q78" s="4" t="s">
        <v>408</v>
      </c>
      <c r="R78" s="4" t="s">
        <v>395</v>
      </c>
      <c r="S78" s="4" t="s">
        <v>458</v>
      </c>
      <c r="T78" s="4" t="s">
        <v>456</v>
      </c>
      <c r="U78" s="4">
        <v>8500</v>
      </c>
      <c r="V78" s="4">
        <v>12000</v>
      </c>
      <c r="W78" s="7">
        <v>96000</v>
      </c>
      <c r="X78" s="58">
        <v>0.29166666666666669</v>
      </c>
    </row>
    <row r="79" spans="1:24" x14ac:dyDescent="0.25">
      <c r="A79" s="17" t="s">
        <v>245</v>
      </c>
      <c r="B79" s="6">
        <v>45824</v>
      </c>
      <c r="C79" s="4" t="s">
        <v>168</v>
      </c>
      <c r="D79" s="4" t="s">
        <v>88</v>
      </c>
      <c r="E79" s="4" t="s">
        <v>67</v>
      </c>
      <c r="F79" s="7">
        <v>18</v>
      </c>
      <c r="G79" s="7">
        <v>0.12</v>
      </c>
      <c r="H79" s="7">
        <v>107712</v>
      </c>
      <c r="I79" s="4">
        <v>81000</v>
      </c>
      <c r="J79" s="7">
        <v>26712</v>
      </c>
      <c r="K79" s="4" t="s">
        <v>44</v>
      </c>
      <c r="L79" s="4" t="s">
        <v>122</v>
      </c>
      <c r="M79" s="4" t="s">
        <v>44</v>
      </c>
      <c r="N79" s="7">
        <v>107712</v>
      </c>
      <c r="O79" s="4" t="s">
        <v>510</v>
      </c>
      <c r="P79" s="4" t="s">
        <v>485</v>
      </c>
      <c r="Q79" s="4" t="s">
        <v>442</v>
      </c>
      <c r="R79" s="4" t="s">
        <v>402</v>
      </c>
      <c r="S79" s="4" t="s">
        <v>466</v>
      </c>
      <c r="T79" s="4" t="s">
        <v>456</v>
      </c>
      <c r="U79" s="4">
        <v>4500</v>
      </c>
      <c r="V79" s="4">
        <v>6800</v>
      </c>
      <c r="W79" s="7">
        <v>107712</v>
      </c>
      <c r="X79" s="58">
        <v>0.2479946524064171</v>
      </c>
    </row>
    <row r="80" spans="1:24" x14ac:dyDescent="0.25">
      <c r="A80" s="17" t="s">
        <v>247</v>
      </c>
      <c r="B80" s="6">
        <v>45832</v>
      </c>
      <c r="C80" s="4" t="s">
        <v>139</v>
      </c>
      <c r="D80" s="4" t="s">
        <v>101</v>
      </c>
      <c r="E80" s="4" t="s">
        <v>121</v>
      </c>
      <c r="F80" s="7">
        <v>8</v>
      </c>
      <c r="G80" s="7">
        <v>0</v>
      </c>
      <c r="H80" s="7">
        <v>28800</v>
      </c>
      <c r="I80" s="4">
        <v>19200</v>
      </c>
      <c r="J80" s="7">
        <v>9600</v>
      </c>
      <c r="K80" s="4" t="s">
        <v>102</v>
      </c>
      <c r="L80" s="4" t="s">
        <v>35</v>
      </c>
      <c r="M80" s="4" t="s">
        <v>102</v>
      </c>
      <c r="N80" s="7">
        <v>28800</v>
      </c>
      <c r="O80" s="4" t="s">
        <v>553</v>
      </c>
      <c r="P80" s="4" t="s">
        <v>547</v>
      </c>
      <c r="Q80" s="4" t="s">
        <v>423</v>
      </c>
      <c r="R80" s="4" t="s">
        <v>402</v>
      </c>
      <c r="S80" s="4" t="s">
        <v>476</v>
      </c>
      <c r="T80" s="4" t="s">
        <v>456</v>
      </c>
      <c r="U80" s="4">
        <v>2400</v>
      </c>
      <c r="V80" s="4">
        <v>3600</v>
      </c>
      <c r="W80" s="7">
        <v>28800</v>
      </c>
      <c r="X80" s="58">
        <v>0.33333333333333331</v>
      </c>
    </row>
    <row r="81" spans="1:24" x14ac:dyDescent="0.25">
      <c r="A81" s="17" t="s">
        <v>248</v>
      </c>
      <c r="B81" s="6">
        <v>45730</v>
      </c>
      <c r="C81" s="4" t="s">
        <v>524</v>
      </c>
      <c r="D81" s="4" t="s">
        <v>241</v>
      </c>
      <c r="E81" s="4" t="s">
        <v>91</v>
      </c>
      <c r="F81" s="7">
        <v>18</v>
      </c>
      <c r="G81" s="7">
        <v>0.1</v>
      </c>
      <c r="H81" s="7">
        <v>55080</v>
      </c>
      <c r="I81" s="4">
        <v>39600</v>
      </c>
      <c r="J81" s="7">
        <v>15480</v>
      </c>
      <c r="K81" s="4" t="s">
        <v>63</v>
      </c>
      <c r="L81" s="4" t="s">
        <v>122</v>
      </c>
      <c r="M81" s="4" t="s">
        <v>63</v>
      </c>
      <c r="N81" s="7">
        <v>55080</v>
      </c>
      <c r="O81" s="4" t="s">
        <v>525</v>
      </c>
      <c r="P81" s="4" t="s">
        <v>520</v>
      </c>
      <c r="Q81" s="4" t="s">
        <v>432</v>
      </c>
      <c r="R81" s="4" t="s">
        <v>399</v>
      </c>
      <c r="S81" s="4" t="s">
        <v>467</v>
      </c>
      <c r="T81" s="4" t="s">
        <v>456</v>
      </c>
      <c r="U81" s="4">
        <v>2200</v>
      </c>
      <c r="V81" s="4">
        <v>3400</v>
      </c>
      <c r="W81" s="7">
        <v>55080</v>
      </c>
      <c r="X81" s="58">
        <v>0.28104575163398687</v>
      </c>
    </row>
    <row r="82" spans="1:24" x14ac:dyDescent="0.25">
      <c r="A82" s="17" t="s">
        <v>250</v>
      </c>
      <c r="B82" s="6">
        <v>45669</v>
      </c>
      <c r="C82" s="4" t="s">
        <v>225</v>
      </c>
      <c r="D82" s="4" t="s">
        <v>164</v>
      </c>
      <c r="E82" s="4" t="s">
        <v>53</v>
      </c>
      <c r="F82" s="7">
        <v>15</v>
      </c>
      <c r="G82" s="7">
        <v>0.05</v>
      </c>
      <c r="H82" s="7">
        <v>59850</v>
      </c>
      <c r="I82" s="4">
        <v>42000</v>
      </c>
      <c r="J82" s="7">
        <v>17850</v>
      </c>
      <c r="K82" s="4" t="s">
        <v>44</v>
      </c>
      <c r="L82" s="4" t="s">
        <v>35</v>
      </c>
      <c r="M82" s="4" t="s">
        <v>44</v>
      </c>
      <c r="N82" s="7">
        <v>59850</v>
      </c>
      <c r="O82" s="4" t="s">
        <v>487</v>
      </c>
      <c r="P82" s="4" t="s">
        <v>485</v>
      </c>
      <c r="Q82" s="4" t="s">
        <v>422</v>
      </c>
      <c r="R82" s="4" t="s">
        <v>402</v>
      </c>
      <c r="S82" s="4" t="s">
        <v>473</v>
      </c>
      <c r="T82" s="4" t="s">
        <v>456</v>
      </c>
      <c r="U82" s="4">
        <v>2800</v>
      </c>
      <c r="V82" s="4">
        <v>4200</v>
      </c>
      <c r="W82" s="7">
        <v>59850</v>
      </c>
      <c r="X82" s="58">
        <v>0.2982456140350877</v>
      </c>
    </row>
    <row r="83" spans="1:24" x14ac:dyDescent="0.25">
      <c r="A83" s="17" t="s">
        <v>251</v>
      </c>
      <c r="B83" s="6">
        <v>45795</v>
      </c>
      <c r="C83" s="4" t="s">
        <v>114</v>
      </c>
      <c r="D83" s="4" t="s">
        <v>151</v>
      </c>
      <c r="E83" s="4" t="s">
        <v>81</v>
      </c>
      <c r="F83" s="7">
        <v>6</v>
      </c>
      <c r="G83" s="7">
        <v>0.12</v>
      </c>
      <c r="H83" s="7">
        <v>47520</v>
      </c>
      <c r="I83" s="4">
        <v>39000</v>
      </c>
      <c r="J83" s="7">
        <v>8520</v>
      </c>
      <c r="K83" s="4" t="s">
        <v>63</v>
      </c>
      <c r="L83" s="4" t="s">
        <v>35</v>
      </c>
      <c r="M83" s="4" t="s">
        <v>63</v>
      </c>
      <c r="N83" s="7">
        <v>47520</v>
      </c>
      <c r="O83" s="4" t="s">
        <v>538</v>
      </c>
      <c r="P83" s="4" t="s">
        <v>535</v>
      </c>
      <c r="Q83" s="4" t="s">
        <v>408</v>
      </c>
      <c r="R83" s="4" t="s">
        <v>395</v>
      </c>
      <c r="S83" s="4" t="s">
        <v>470</v>
      </c>
      <c r="T83" s="4" t="s">
        <v>456</v>
      </c>
      <c r="U83" s="4">
        <v>6500</v>
      </c>
      <c r="V83" s="4">
        <v>9000</v>
      </c>
      <c r="W83" s="7">
        <v>47520</v>
      </c>
      <c r="X83" s="58">
        <v>0.17929292929292931</v>
      </c>
    </row>
    <row r="84" spans="1:24" x14ac:dyDescent="0.25">
      <c r="A84" s="17" t="s">
        <v>252</v>
      </c>
      <c r="B84" s="6">
        <v>45684</v>
      </c>
      <c r="C84" s="4" t="s">
        <v>205</v>
      </c>
      <c r="D84" s="4" t="s">
        <v>125</v>
      </c>
      <c r="E84" s="4" t="s">
        <v>71</v>
      </c>
      <c r="F84" s="7">
        <v>14</v>
      </c>
      <c r="G84" s="7">
        <v>0.12</v>
      </c>
      <c r="H84" s="7">
        <v>88704</v>
      </c>
      <c r="I84" s="4">
        <v>67200</v>
      </c>
      <c r="J84" s="7">
        <v>21504</v>
      </c>
      <c r="K84" s="4" t="s">
        <v>39</v>
      </c>
      <c r="L84" s="4" t="s">
        <v>45</v>
      </c>
      <c r="M84" s="4" t="s">
        <v>39</v>
      </c>
      <c r="N84" s="7">
        <v>88704</v>
      </c>
      <c r="O84" s="4" t="s">
        <v>563</v>
      </c>
      <c r="P84" s="4" t="s">
        <v>478</v>
      </c>
      <c r="Q84" s="4" t="s">
        <v>450</v>
      </c>
      <c r="R84" s="4" t="s">
        <v>395</v>
      </c>
      <c r="S84" s="4" t="s">
        <v>462</v>
      </c>
      <c r="T84" s="4" t="s">
        <v>463</v>
      </c>
      <c r="U84" s="4">
        <v>4800</v>
      </c>
      <c r="V84" s="4">
        <v>7200</v>
      </c>
      <c r="W84" s="7">
        <v>88704</v>
      </c>
      <c r="X84" s="58">
        <v>0.2424242424242424</v>
      </c>
    </row>
    <row r="85" spans="1:24" x14ac:dyDescent="0.25">
      <c r="A85" s="17" t="s">
        <v>253</v>
      </c>
      <c r="B85" s="6">
        <v>45833</v>
      </c>
      <c r="C85" s="4" t="s">
        <v>254</v>
      </c>
      <c r="D85" s="4" t="s">
        <v>115</v>
      </c>
      <c r="E85" s="4" t="s">
        <v>152</v>
      </c>
      <c r="F85" s="7">
        <v>3</v>
      </c>
      <c r="G85" s="7">
        <v>0.1</v>
      </c>
      <c r="H85" s="7">
        <v>7560</v>
      </c>
      <c r="I85" s="4">
        <v>5400</v>
      </c>
      <c r="J85" s="7">
        <v>2160</v>
      </c>
      <c r="K85" s="4" t="s">
        <v>44</v>
      </c>
      <c r="L85" s="4" t="s">
        <v>35</v>
      </c>
      <c r="M85" s="4" t="s">
        <v>44</v>
      </c>
      <c r="N85" s="7">
        <v>7560</v>
      </c>
      <c r="O85" s="4" t="s">
        <v>532</v>
      </c>
      <c r="P85" s="4" t="s">
        <v>520</v>
      </c>
      <c r="Q85" s="4" t="s">
        <v>443</v>
      </c>
      <c r="R85" s="4" t="s">
        <v>395</v>
      </c>
      <c r="S85" s="4" t="s">
        <v>459</v>
      </c>
      <c r="T85" s="4" t="s">
        <v>460</v>
      </c>
      <c r="U85" s="4">
        <v>1800</v>
      </c>
      <c r="V85" s="4">
        <v>2800</v>
      </c>
      <c r="W85" s="7">
        <v>7560</v>
      </c>
      <c r="X85" s="58">
        <v>0.2857142857142857</v>
      </c>
    </row>
    <row r="86" spans="1:24" x14ac:dyDescent="0.25">
      <c r="A86" s="17" t="s">
        <v>255</v>
      </c>
      <c r="B86" s="6">
        <v>45722</v>
      </c>
      <c r="C86" s="4" t="s">
        <v>233</v>
      </c>
      <c r="D86" s="4" t="s">
        <v>56</v>
      </c>
      <c r="E86" s="4" t="s">
        <v>33</v>
      </c>
      <c r="F86" s="7">
        <v>6</v>
      </c>
      <c r="G86" s="7">
        <v>0.12</v>
      </c>
      <c r="H86" s="7">
        <v>19008</v>
      </c>
      <c r="I86" s="4">
        <v>14400</v>
      </c>
      <c r="J86" s="7">
        <v>4608</v>
      </c>
      <c r="K86" s="4" t="s">
        <v>63</v>
      </c>
      <c r="L86" s="4" t="s">
        <v>35</v>
      </c>
      <c r="M86" s="4" t="s">
        <v>63</v>
      </c>
      <c r="N86" s="7">
        <v>19008</v>
      </c>
      <c r="O86" s="4" t="s">
        <v>552</v>
      </c>
      <c r="P86" s="4" t="s">
        <v>547</v>
      </c>
      <c r="Q86" s="4" t="s">
        <v>417</v>
      </c>
      <c r="R86" s="4" t="s">
        <v>399</v>
      </c>
      <c r="S86" s="4" t="s">
        <v>475</v>
      </c>
      <c r="T86" s="4" t="s">
        <v>460</v>
      </c>
      <c r="U86" s="4">
        <v>2400</v>
      </c>
      <c r="V86" s="4">
        <v>3600</v>
      </c>
      <c r="W86" s="7">
        <v>19008</v>
      </c>
      <c r="X86" s="58">
        <v>0.2424242424242424</v>
      </c>
    </row>
    <row r="87" spans="1:24" x14ac:dyDescent="0.25">
      <c r="A87" s="17" t="s">
        <v>256</v>
      </c>
      <c r="B87" s="6">
        <v>45761</v>
      </c>
      <c r="C87" s="4" t="s">
        <v>181</v>
      </c>
      <c r="D87" s="4" t="s">
        <v>369</v>
      </c>
      <c r="E87" s="4" t="s">
        <v>91</v>
      </c>
      <c r="F87" s="7">
        <v>15</v>
      </c>
      <c r="G87" s="7">
        <v>0.1</v>
      </c>
      <c r="H87" s="7">
        <v>45900</v>
      </c>
      <c r="I87" s="4">
        <v>33000</v>
      </c>
      <c r="J87" s="7">
        <v>12900</v>
      </c>
      <c r="K87" s="4" t="s">
        <v>44</v>
      </c>
      <c r="L87" s="4" t="s">
        <v>660</v>
      </c>
      <c r="M87" s="4" t="s">
        <v>44</v>
      </c>
      <c r="N87" s="7">
        <v>45900</v>
      </c>
      <c r="O87" s="4" t="s">
        <v>541</v>
      </c>
      <c r="P87" s="4" t="s">
        <v>535</v>
      </c>
      <c r="Q87" s="4" t="s">
        <v>433</v>
      </c>
      <c r="R87" s="4" t="s">
        <v>395</v>
      </c>
      <c r="S87" s="4" t="s">
        <v>467</v>
      </c>
      <c r="T87" s="4" t="s">
        <v>456</v>
      </c>
      <c r="U87" s="4">
        <v>2200</v>
      </c>
      <c r="V87" s="4">
        <v>3400</v>
      </c>
      <c r="W87" s="7">
        <v>45900</v>
      </c>
      <c r="X87" s="58">
        <v>0.28104575163398687</v>
      </c>
    </row>
    <row r="88" spans="1:24" x14ac:dyDescent="0.25">
      <c r="A88" s="17" t="s">
        <v>258</v>
      </c>
      <c r="B88" s="6">
        <v>45807</v>
      </c>
      <c r="C88" s="4" t="s">
        <v>147</v>
      </c>
      <c r="D88" s="4" t="s">
        <v>90</v>
      </c>
      <c r="E88" s="4" t="s">
        <v>85</v>
      </c>
      <c r="F88" s="7">
        <v>3</v>
      </c>
      <c r="G88" s="7">
        <v>0.12</v>
      </c>
      <c r="H88" s="7">
        <v>17160</v>
      </c>
      <c r="I88" s="4">
        <v>12600</v>
      </c>
      <c r="J88" s="7">
        <v>4560</v>
      </c>
      <c r="K88" s="4" t="s">
        <v>63</v>
      </c>
      <c r="L88" s="4" t="s">
        <v>122</v>
      </c>
      <c r="M88" s="4" t="s">
        <v>63</v>
      </c>
      <c r="N88" s="7">
        <v>17160</v>
      </c>
      <c r="O88" s="4" t="s">
        <v>493</v>
      </c>
      <c r="P88" s="4" t="s">
        <v>485</v>
      </c>
      <c r="Q88" s="4" t="s">
        <v>407</v>
      </c>
      <c r="R88" s="4" t="s">
        <v>402</v>
      </c>
      <c r="S88" s="4" t="s">
        <v>474</v>
      </c>
      <c r="T88" s="4" t="s">
        <v>463</v>
      </c>
      <c r="U88" s="4">
        <v>4200</v>
      </c>
      <c r="V88" s="4">
        <v>6500</v>
      </c>
      <c r="W88" s="7">
        <v>17160</v>
      </c>
      <c r="X88" s="58">
        <v>0.26573426573426567</v>
      </c>
    </row>
    <row r="89" spans="1:24" x14ac:dyDescent="0.25">
      <c r="A89" s="17" t="s">
        <v>260</v>
      </c>
      <c r="B89" s="6">
        <v>45680</v>
      </c>
      <c r="C89" s="4" t="s">
        <v>261</v>
      </c>
      <c r="D89" s="4" t="s">
        <v>262</v>
      </c>
      <c r="E89" s="4" t="s">
        <v>85</v>
      </c>
      <c r="F89" s="7">
        <v>10</v>
      </c>
      <c r="G89" s="7">
        <v>0.08</v>
      </c>
      <c r="H89" s="7">
        <v>59800</v>
      </c>
      <c r="I89" s="4">
        <v>42000</v>
      </c>
      <c r="J89" s="7">
        <v>17800</v>
      </c>
      <c r="K89" s="4" t="s">
        <v>39</v>
      </c>
      <c r="L89" s="4" t="s">
        <v>35</v>
      </c>
      <c r="M89" s="4" t="s">
        <v>39</v>
      </c>
      <c r="N89" s="7">
        <v>59800</v>
      </c>
      <c r="O89" s="4" t="s">
        <v>587</v>
      </c>
      <c r="P89" s="4" t="s">
        <v>579</v>
      </c>
      <c r="Q89" s="4" t="s">
        <v>403</v>
      </c>
      <c r="R89" s="4" t="s">
        <v>399</v>
      </c>
      <c r="S89" s="4" t="s">
        <v>474</v>
      </c>
      <c r="T89" s="4" t="s">
        <v>463</v>
      </c>
      <c r="U89" s="4">
        <v>4200</v>
      </c>
      <c r="V89" s="4">
        <v>6500</v>
      </c>
      <c r="W89" s="7">
        <v>59800</v>
      </c>
      <c r="X89" s="58">
        <v>0.2976588628762542</v>
      </c>
    </row>
    <row r="90" spans="1:24" x14ac:dyDescent="0.25">
      <c r="A90" s="17" t="s">
        <v>263</v>
      </c>
      <c r="B90" s="6">
        <v>45692</v>
      </c>
      <c r="C90" s="4" t="s">
        <v>106</v>
      </c>
      <c r="D90" s="4" t="s">
        <v>148</v>
      </c>
      <c r="E90" s="4" t="s">
        <v>121</v>
      </c>
      <c r="F90" s="7">
        <v>18</v>
      </c>
      <c r="G90" s="7">
        <v>0</v>
      </c>
      <c r="H90" s="7">
        <v>64800</v>
      </c>
      <c r="I90" s="4">
        <v>43200</v>
      </c>
      <c r="J90" s="7">
        <v>21600</v>
      </c>
      <c r="K90" s="4" t="s">
        <v>102</v>
      </c>
      <c r="L90" s="4" t="s">
        <v>35</v>
      </c>
      <c r="M90" s="4" t="s">
        <v>102</v>
      </c>
      <c r="N90" s="7">
        <v>64800</v>
      </c>
      <c r="O90" s="4" t="s">
        <v>529</v>
      </c>
      <c r="P90" s="4" t="s">
        <v>520</v>
      </c>
      <c r="Q90" s="4" t="s">
        <v>437</v>
      </c>
      <c r="R90" s="4" t="s">
        <v>402</v>
      </c>
      <c r="S90" s="4" t="s">
        <v>476</v>
      </c>
      <c r="T90" s="4" t="s">
        <v>456</v>
      </c>
      <c r="U90" s="4">
        <v>2400</v>
      </c>
      <c r="V90" s="4">
        <v>3600</v>
      </c>
      <c r="W90" s="7">
        <v>64800</v>
      </c>
      <c r="X90" s="58">
        <v>0.33333333333333331</v>
      </c>
    </row>
    <row r="91" spans="1:24" x14ac:dyDescent="0.25">
      <c r="A91" s="17" t="s">
        <v>264</v>
      </c>
      <c r="B91" s="6">
        <v>45831</v>
      </c>
      <c r="C91" s="4" t="s">
        <v>265</v>
      </c>
      <c r="D91" s="4" t="s">
        <v>112</v>
      </c>
      <c r="E91" s="4" t="s">
        <v>85</v>
      </c>
      <c r="F91" s="7">
        <v>5</v>
      </c>
      <c r="G91" s="7">
        <v>0.03</v>
      </c>
      <c r="H91" s="7">
        <v>31525</v>
      </c>
      <c r="I91" s="4">
        <v>21000</v>
      </c>
      <c r="J91" s="7">
        <v>10525</v>
      </c>
      <c r="K91" s="4" t="s">
        <v>102</v>
      </c>
      <c r="L91" s="4" t="s">
        <v>35</v>
      </c>
      <c r="M91" s="4" t="s">
        <v>102</v>
      </c>
      <c r="N91" s="7">
        <v>31525</v>
      </c>
      <c r="O91" s="4" t="s">
        <v>506</v>
      </c>
      <c r="P91" s="4" t="s">
        <v>485</v>
      </c>
      <c r="Q91" s="4" t="s">
        <v>400</v>
      </c>
      <c r="R91" s="4" t="s">
        <v>399</v>
      </c>
      <c r="S91" s="4" t="s">
        <v>474</v>
      </c>
      <c r="T91" s="4" t="s">
        <v>463</v>
      </c>
      <c r="U91" s="4">
        <v>4200</v>
      </c>
      <c r="V91" s="4">
        <v>6500</v>
      </c>
      <c r="W91" s="7">
        <v>31525</v>
      </c>
      <c r="X91" s="58">
        <v>0.33386201427438539</v>
      </c>
    </row>
    <row r="92" spans="1:24" x14ac:dyDescent="0.25">
      <c r="A92" s="17" t="s">
        <v>266</v>
      </c>
      <c r="B92" s="6">
        <v>45800</v>
      </c>
      <c r="C92" s="4" t="s">
        <v>173</v>
      </c>
      <c r="D92" s="4" t="s">
        <v>171</v>
      </c>
      <c r="E92" s="4" t="s">
        <v>152</v>
      </c>
      <c r="F92" s="7">
        <v>1</v>
      </c>
      <c r="G92" s="7">
        <v>0.08</v>
      </c>
      <c r="H92" s="7">
        <v>2576</v>
      </c>
      <c r="I92" s="4">
        <v>1800</v>
      </c>
      <c r="J92" s="7">
        <v>776</v>
      </c>
      <c r="K92" s="4" t="s">
        <v>34</v>
      </c>
      <c r="L92" s="4" t="s">
        <v>45</v>
      </c>
      <c r="M92" s="4" t="s">
        <v>34</v>
      </c>
      <c r="N92" s="7">
        <v>2576</v>
      </c>
      <c r="O92" s="4" t="s">
        <v>578</v>
      </c>
      <c r="P92" s="4" t="s">
        <v>579</v>
      </c>
      <c r="Q92" s="4" t="s">
        <v>446</v>
      </c>
      <c r="R92" s="4" t="s">
        <v>395</v>
      </c>
      <c r="S92" s="4" t="s">
        <v>459</v>
      </c>
      <c r="T92" s="4" t="s">
        <v>460</v>
      </c>
      <c r="U92" s="4">
        <v>1800</v>
      </c>
      <c r="V92" s="4">
        <v>2800</v>
      </c>
      <c r="W92" s="7">
        <v>2576</v>
      </c>
      <c r="X92" s="58">
        <v>0.30124223602484468</v>
      </c>
    </row>
    <row r="93" spans="1:24" x14ac:dyDescent="0.25">
      <c r="A93" s="17" t="s">
        <v>268</v>
      </c>
      <c r="B93" s="6">
        <v>45711</v>
      </c>
      <c r="C93" s="4" t="s">
        <v>119</v>
      </c>
      <c r="D93" s="4" t="s">
        <v>174</v>
      </c>
      <c r="E93" s="4" t="s">
        <v>49</v>
      </c>
      <c r="F93" s="7">
        <v>3</v>
      </c>
      <c r="G93" s="7">
        <v>0.03</v>
      </c>
      <c r="H93" s="7">
        <v>13968</v>
      </c>
      <c r="I93" s="4">
        <v>9600</v>
      </c>
      <c r="J93" s="7">
        <v>4368</v>
      </c>
      <c r="K93" s="4" t="s">
        <v>102</v>
      </c>
      <c r="L93" s="4" t="s">
        <v>45</v>
      </c>
      <c r="M93" s="4" t="s">
        <v>102</v>
      </c>
      <c r="N93" s="7">
        <v>13968</v>
      </c>
      <c r="O93" s="4" t="s">
        <v>566</v>
      </c>
      <c r="P93" s="4" t="s">
        <v>478</v>
      </c>
      <c r="Q93" s="4" t="s">
        <v>449</v>
      </c>
      <c r="R93" s="4" t="s">
        <v>395</v>
      </c>
      <c r="S93" s="4" t="s">
        <v>472</v>
      </c>
      <c r="T93" s="4" t="s">
        <v>456</v>
      </c>
      <c r="U93" s="4">
        <v>3200</v>
      </c>
      <c r="V93" s="4">
        <v>4800</v>
      </c>
      <c r="W93" s="7">
        <v>13968</v>
      </c>
      <c r="X93" s="58">
        <v>0.3127147766323024</v>
      </c>
    </row>
    <row r="94" spans="1:24" x14ac:dyDescent="0.25">
      <c r="A94" s="17" t="s">
        <v>269</v>
      </c>
      <c r="B94" s="6">
        <v>45699</v>
      </c>
      <c r="C94" s="4" t="s">
        <v>194</v>
      </c>
      <c r="D94" s="4" t="s">
        <v>88</v>
      </c>
      <c r="E94" s="4" t="s">
        <v>195</v>
      </c>
      <c r="F94" s="7">
        <v>17</v>
      </c>
      <c r="G94" s="7">
        <v>0</v>
      </c>
      <c r="H94" s="7">
        <v>18700</v>
      </c>
      <c r="I94" s="4">
        <v>11050</v>
      </c>
      <c r="J94" s="7">
        <v>7650</v>
      </c>
      <c r="K94" s="4" t="s">
        <v>44</v>
      </c>
      <c r="L94" s="4" t="s">
        <v>35</v>
      </c>
      <c r="M94" s="4" t="s">
        <v>44</v>
      </c>
      <c r="N94" s="7">
        <v>18700</v>
      </c>
      <c r="O94" s="4" t="s">
        <v>591</v>
      </c>
      <c r="P94" s="4" t="s">
        <v>590</v>
      </c>
      <c r="Q94" s="4" t="s">
        <v>442</v>
      </c>
      <c r="R94" s="4" t="s">
        <v>402</v>
      </c>
      <c r="S94" s="4" t="s">
        <v>461</v>
      </c>
      <c r="T94" s="4" t="s">
        <v>460</v>
      </c>
      <c r="U94" s="4">
        <v>650</v>
      </c>
      <c r="V94" s="4">
        <v>1100</v>
      </c>
      <c r="W94" s="7">
        <v>18700</v>
      </c>
      <c r="X94" s="58">
        <v>0.40909090909090912</v>
      </c>
    </row>
    <row r="95" spans="1:24" x14ac:dyDescent="0.25">
      <c r="A95" s="17" t="s">
        <v>270</v>
      </c>
      <c r="B95" s="6">
        <v>45798</v>
      </c>
      <c r="C95" s="4" t="s">
        <v>201</v>
      </c>
      <c r="D95" s="4" t="s">
        <v>227</v>
      </c>
      <c r="E95" s="4" t="s">
        <v>81</v>
      </c>
      <c r="F95" s="7">
        <v>2</v>
      </c>
      <c r="G95" s="7">
        <v>0.12</v>
      </c>
      <c r="H95" s="7">
        <v>15840</v>
      </c>
      <c r="I95" s="4">
        <v>13000</v>
      </c>
      <c r="J95" s="7">
        <v>2840</v>
      </c>
      <c r="K95" s="4" t="s">
        <v>44</v>
      </c>
      <c r="L95" s="4" t="s">
        <v>35</v>
      </c>
      <c r="M95" s="4" t="s">
        <v>44</v>
      </c>
      <c r="N95" s="7">
        <v>15840</v>
      </c>
      <c r="O95" s="4" t="s">
        <v>562</v>
      </c>
      <c r="P95" s="4" t="s">
        <v>478</v>
      </c>
      <c r="Q95" s="4" t="s">
        <v>401</v>
      </c>
      <c r="R95" s="4" t="s">
        <v>402</v>
      </c>
      <c r="S95" s="4" t="s">
        <v>470</v>
      </c>
      <c r="T95" s="4" t="s">
        <v>456</v>
      </c>
      <c r="U95" s="4">
        <v>6500</v>
      </c>
      <c r="V95" s="4">
        <v>9000</v>
      </c>
      <c r="W95" s="7">
        <v>15840</v>
      </c>
      <c r="X95" s="58">
        <v>0.17929292929292931</v>
      </c>
    </row>
    <row r="96" spans="1:24" x14ac:dyDescent="0.25">
      <c r="A96" s="17" t="s">
        <v>271</v>
      </c>
      <c r="B96" s="6">
        <v>45806</v>
      </c>
      <c r="C96" s="4" t="s">
        <v>201</v>
      </c>
      <c r="D96" s="4" t="s">
        <v>272</v>
      </c>
      <c r="E96" s="4" t="s">
        <v>95</v>
      </c>
      <c r="F96" s="7">
        <v>7</v>
      </c>
      <c r="G96" s="7">
        <v>0.1</v>
      </c>
      <c r="H96" s="7">
        <v>327600</v>
      </c>
      <c r="I96" s="4">
        <v>294000</v>
      </c>
      <c r="J96" s="7">
        <v>33600</v>
      </c>
      <c r="K96" s="4" t="s">
        <v>44</v>
      </c>
      <c r="L96" s="4" t="s">
        <v>35</v>
      </c>
      <c r="M96" s="4" t="s">
        <v>44</v>
      </c>
      <c r="N96" s="7">
        <v>327600</v>
      </c>
      <c r="O96" s="4" t="s">
        <v>562</v>
      </c>
      <c r="P96" s="4" t="s">
        <v>478</v>
      </c>
      <c r="Q96" s="4" t="s">
        <v>436</v>
      </c>
      <c r="R96" s="4" t="s">
        <v>402</v>
      </c>
      <c r="S96" s="4" t="s">
        <v>455</v>
      </c>
      <c r="T96" s="4" t="s">
        <v>456</v>
      </c>
      <c r="U96" s="4">
        <v>42000</v>
      </c>
      <c r="V96" s="4">
        <v>52000</v>
      </c>
      <c r="W96" s="7">
        <v>327600</v>
      </c>
      <c r="X96" s="58">
        <v>0.1025641025641026</v>
      </c>
    </row>
    <row r="97" spans="1:24" x14ac:dyDescent="0.25">
      <c r="A97" s="17" t="s">
        <v>273</v>
      </c>
      <c r="B97" s="6">
        <v>45739</v>
      </c>
      <c r="C97" s="4" t="s">
        <v>274</v>
      </c>
      <c r="D97" s="4" t="s">
        <v>234</v>
      </c>
      <c r="E97" s="4" t="s">
        <v>78</v>
      </c>
      <c r="F97" s="7">
        <v>3</v>
      </c>
      <c r="G97" s="7">
        <v>0</v>
      </c>
      <c r="H97" s="7">
        <v>27000</v>
      </c>
      <c r="I97" s="4">
        <v>19500</v>
      </c>
      <c r="J97" s="7">
        <v>7500</v>
      </c>
      <c r="K97" s="4" t="s">
        <v>63</v>
      </c>
      <c r="L97" s="4" t="s">
        <v>122</v>
      </c>
      <c r="M97" s="4" t="s">
        <v>63</v>
      </c>
      <c r="N97" s="7">
        <v>27000</v>
      </c>
      <c r="O97" s="4" t="s">
        <v>519</v>
      </c>
      <c r="P97" s="4" t="s">
        <v>520</v>
      </c>
      <c r="Q97" s="4" t="s">
        <v>444</v>
      </c>
      <c r="R97" s="4" t="s">
        <v>402</v>
      </c>
      <c r="S97" s="4" t="s">
        <v>465</v>
      </c>
      <c r="T97" s="4" t="s">
        <v>463</v>
      </c>
      <c r="U97" s="4">
        <v>6500</v>
      </c>
      <c r="V97" s="4">
        <v>9000</v>
      </c>
      <c r="W97" s="7">
        <v>27000</v>
      </c>
      <c r="X97" s="58">
        <v>0.27777777777777779</v>
      </c>
    </row>
    <row r="98" spans="1:24" x14ac:dyDescent="0.25">
      <c r="A98" s="17" t="s">
        <v>275</v>
      </c>
      <c r="B98" s="6">
        <v>45738</v>
      </c>
      <c r="C98" s="4" t="s">
        <v>276</v>
      </c>
      <c r="D98" s="4" t="s">
        <v>115</v>
      </c>
      <c r="E98" s="4" t="s">
        <v>81</v>
      </c>
      <c r="F98" s="7">
        <v>12</v>
      </c>
      <c r="G98" s="7">
        <v>0.12</v>
      </c>
      <c r="H98" s="7">
        <v>95040</v>
      </c>
      <c r="I98" s="4">
        <v>78000</v>
      </c>
      <c r="J98" s="7">
        <v>17040</v>
      </c>
      <c r="K98" s="4" t="s">
        <v>44</v>
      </c>
      <c r="L98" s="4" t="s">
        <v>35</v>
      </c>
      <c r="M98" s="4" t="s">
        <v>44</v>
      </c>
      <c r="N98" s="7">
        <v>95040</v>
      </c>
      <c r="O98" s="4" t="s">
        <v>588</v>
      </c>
      <c r="P98" s="4" t="s">
        <v>579</v>
      </c>
      <c r="Q98" s="4" t="s">
        <v>443</v>
      </c>
      <c r="R98" s="4" t="s">
        <v>395</v>
      </c>
      <c r="S98" s="4" t="s">
        <v>470</v>
      </c>
      <c r="T98" s="4" t="s">
        <v>456</v>
      </c>
      <c r="U98" s="4">
        <v>6500</v>
      </c>
      <c r="V98" s="4">
        <v>9000</v>
      </c>
      <c r="W98" s="7">
        <v>95040</v>
      </c>
      <c r="X98" s="58">
        <v>0.17929292929292931</v>
      </c>
    </row>
    <row r="99" spans="1:24" x14ac:dyDescent="0.25">
      <c r="A99" s="17" t="s">
        <v>277</v>
      </c>
      <c r="B99" s="6">
        <v>45750</v>
      </c>
      <c r="C99" s="4" t="s">
        <v>278</v>
      </c>
      <c r="D99" s="4" t="s">
        <v>88</v>
      </c>
      <c r="E99" s="4" t="s">
        <v>95</v>
      </c>
      <c r="F99" s="7">
        <v>14</v>
      </c>
      <c r="G99" s="7">
        <v>0.03</v>
      </c>
      <c r="H99" s="7">
        <v>706160</v>
      </c>
      <c r="I99" s="4">
        <v>588000</v>
      </c>
      <c r="J99" s="7">
        <v>118160</v>
      </c>
      <c r="K99" s="4" t="s">
        <v>44</v>
      </c>
      <c r="L99" s="4" t="s">
        <v>45</v>
      </c>
      <c r="M99" s="4" t="s">
        <v>44</v>
      </c>
      <c r="N99" s="7">
        <v>706160</v>
      </c>
      <c r="O99" s="4" t="s">
        <v>555</v>
      </c>
      <c r="P99" s="4" t="s">
        <v>547</v>
      </c>
      <c r="Q99" s="4" t="s">
        <v>442</v>
      </c>
      <c r="R99" s="4" t="s">
        <v>402</v>
      </c>
      <c r="S99" s="4" t="s">
        <v>455</v>
      </c>
      <c r="T99" s="4" t="s">
        <v>456</v>
      </c>
      <c r="U99" s="4">
        <v>42000</v>
      </c>
      <c r="V99" s="4">
        <v>52000</v>
      </c>
      <c r="W99" s="7">
        <v>706160</v>
      </c>
      <c r="X99" s="58">
        <v>0.16732751784298169</v>
      </c>
    </row>
    <row r="100" spans="1:24" x14ac:dyDescent="0.25">
      <c r="A100" s="17" t="s">
        <v>279</v>
      </c>
      <c r="B100" s="6">
        <v>45799</v>
      </c>
      <c r="C100" s="4" t="s">
        <v>184</v>
      </c>
      <c r="D100" s="4" t="s">
        <v>234</v>
      </c>
      <c r="E100" s="4" t="s">
        <v>49</v>
      </c>
      <c r="F100" s="7">
        <v>10</v>
      </c>
      <c r="G100" s="7">
        <v>0.05</v>
      </c>
      <c r="H100" s="7">
        <v>45600</v>
      </c>
      <c r="I100" s="4">
        <v>32000</v>
      </c>
      <c r="J100" s="7">
        <v>13600</v>
      </c>
      <c r="K100" s="4" t="s">
        <v>63</v>
      </c>
      <c r="L100" s="4" t="s">
        <v>35</v>
      </c>
      <c r="M100" s="4" t="s">
        <v>63</v>
      </c>
      <c r="N100" s="7">
        <v>45600</v>
      </c>
      <c r="O100" s="4" t="s">
        <v>499</v>
      </c>
      <c r="P100" s="4" t="s">
        <v>485</v>
      </c>
      <c r="Q100" s="4" t="s">
        <v>444</v>
      </c>
      <c r="R100" s="4" t="s">
        <v>402</v>
      </c>
      <c r="S100" s="4" t="s">
        <v>472</v>
      </c>
      <c r="T100" s="4" t="s">
        <v>456</v>
      </c>
      <c r="U100" s="4">
        <v>3200</v>
      </c>
      <c r="V100" s="4">
        <v>4800</v>
      </c>
      <c r="W100" s="7">
        <v>45600</v>
      </c>
      <c r="X100" s="58">
        <v>0.2982456140350877</v>
      </c>
    </row>
    <row r="101" spans="1:24" x14ac:dyDescent="0.25">
      <c r="A101" s="17" t="s">
        <v>280</v>
      </c>
      <c r="B101" s="6">
        <v>45708</v>
      </c>
      <c r="C101" s="4" t="s">
        <v>281</v>
      </c>
      <c r="D101" s="4" t="s">
        <v>136</v>
      </c>
      <c r="E101" s="4" t="s">
        <v>71</v>
      </c>
      <c r="F101" s="7">
        <v>5</v>
      </c>
      <c r="G101" s="7">
        <v>0.08</v>
      </c>
      <c r="H101" s="7">
        <v>33120</v>
      </c>
      <c r="I101" s="4">
        <v>24000</v>
      </c>
      <c r="J101" s="7">
        <v>9120</v>
      </c>
      <c r="K101" s="4" t="s">
        <v>137</v>
      </c>
      <c r="L101" s="4" t="s">
        <v>35</v>
      </c>
      <c r="M101" s="4" t="s">
        <v>34</v>
      </c>
      <c r="N101" s="7">
        <v>33120</v>
      </c>
      <c r="O101" s="4" t="s">
        <v>571</v>
      </c>
      <c r="P101" s="4" t="s">
        <v>478</v>
      </c>
      <c r="Q101" s="4" t="s">
        <v>418</v>
      </c>
      <c r="R101" s="4" t="s">
        <v>402</v>
      </c>
      <c r="S101" s="4" t="s">
        <v>462</v>
      </c>
      <c r="T101" s="4" t="s">
        <v>463</v>
      </c>
      <c r="U101" s="4">
        <v>4800</v>
      </c>
      <c r="V101" s="4">
        <v>7200</v>
      </c>
      <c r="W101" s="7">
        <v>33120</v>
      </c>
      <c r="X101" s="58">
        <v>0.27536231884057971</v>
      </c>
    </row>
    <row r="102" spans="1:24" x14ac:dyDescent="0.25">
      <c r="A102" s="17" t="s">
        <v>282</v>
      </c>
      <c r="B102" s="6">
        <v>45665</v>
      </c>
      <c r="C102" s="4" t="s">
        <v>132</v>
      </c>
      <c r="D102" s="4" t="s">
        <v>151</v>
      </c>
      <c r="E102" s="4" t="s">
        <v>78</v>
      </c>
      <c r="F102" s="7">
        <v>17</v>
      </c>
      <c r="G102" s="7">
        <v>0.1</v>
      </c>
      <c r="H102" s="7">
        <v>137700</v>
      </c>
      <c r="I102" s="4">
        <v>110500</v>
      </c>
      <c r="J102" s="7">
        <v>27200</v>
      </c>
      <c r="K102" s="4" t="s">
        <v>63</v>
      </c>
      <c r="L102" s="4" t="s">
        <v>35</v>
      </c>
      <c r="M102" s="4" t="s">
        <v>63</v>
      </c>
      <c r="N102" s="7">
        <v>137700</v>
      </c>
      <c r="O102" s="4" t="s">
        <v>577</v>
      </c>
      <c r="P102" s="4" t="s">
        <v>478</v>
      </c>
      <c r="Q102" s="4" t="s">
        <v>408</v>
      </c>
      <c r="R102" s="4" t="s">
        <v>395</v>
      </c>
      <c r="S102" s="4" t="s">
        <v>465</v>
      </c>
      <c r="T102" s="4" t="s">
        <v>463</v>
      </c>
      <c r="U102" s="4">
        <v>6500</v>
      </c>
      <c r="V102" s="4">
        <v>9000</v>
      </c>
      <c r="W102" s="7">
        <v>137700</v>
      </c>
      <c r="X102" s="58">
        <v>0.19753086419753091</v>
      </c>
    </row>
    <row r="103" spans="1:24" x14ac:dyDescent="0.25">
      <c r="A103" s="17" t="s">
        <v>283</v>
      </c>
      <c r="B103" s="6">
        <v>45797</v>
      </c>
      <c r="C103" s="4" t="s">
        <v>147</v>
      </c>
      <c r="D103" s="4" t="s">
        <v>262</v>
      </c>
      <c r="E103" s="4" t="s">
        <v>116</v>
      </c>
      <c r="F103" s="7">
        <v>18</v>
      </c>
      <c r="G103" s="7">
        <v>0.03</v>
      </c>
      <c r="H103" s="7">
        <v>209520</v>
      </c>
      <c r="I103" s="4">
        <v>153000</v>
      </c>
      <c r="J103" s="7">
        <v>56520</v>
      </c>
      <c r="K103" s="4" t="s">
        <v>39</v>
      </c>
      <c r="L103" s="4" t="s">
        <v>35</v>
      </c>
      <c r="M103" s="4" t="s">
        <v>39</v>
      </c>
      <c r="N103" s="7">
        <v>209520</v>
      </c>
      <c r="O103" s="4" t="s">
        <v>493</v>
      </c>
      <c r="P103" s="4" t="s">
        <v>485</v>
      </c>
      <c r="Q103" s="4" t="s">
        <v>403</v>
      </c>
      <c r="R103" s="4" t="s">
        <v>399</v>
      </c>
      <c r="S103" s="4" t="s">
        <v>458</v>
      </c>
      <c r="T103" s="4" t="s">
        <v>456</v>
      </c>
      <c r="U103" s="4">
        <v>8500</v>
      </c>
      <c r="V103" s="4">
        <v>12000</v>
      </c>
      <c r="W103" s="7">
        <v>209520</v>
      </c>
      <c r="X103" s="58">
        <v>0.26975945017182129</v>
      </c>
    </row>
    <row r="104" spans="1:24" x14ac:dyDescent="0.25">
      <c r="A104" s="17" t="s">
        <v>284</v>
      </c>
      <c r="B104" s="6">
        <v>45808</v>
      </c>
      <c r="C104" s="4" t="s">
        <v>47</v>
      </c>
      <c r="D104" s="4" t="s">
        <v>136</v>
      </c>
      <c r="E104" s="4" t="s">
        <v>95</v>
      </c>
      <c r="F104" s="7">
        <v>8</v>
      </c>
      <c r="G104" s="7">
        <v>0.12</v>
      </c>
      <c r="H104" s="7">
        <v>366080</v>
      </c>
      <c r="I104" s="4">
        <v>336000</v>
      </c>
      <c r="J104" s="7">
        <v>30080</v>
      </c>
      <c r="K104" s="4" t="s">
        <v>34</v>
      </c>
      <c r="L104" s="4" t="s">
        <v>122</v>
      </c>
      <c r="M104" s="4" t="s">
        <v>34</v>
      </c>
      <c r="N104" s="7">
        <v>366080</v>
      </c>
      <c r="O104" s="4" t="s">
        <v>581</v>
      </c>
      <c r="P104" s="4" t="s">
        <v>579</v>
      </c>
      <c r="Q104" s="4" t="s">
        <v>418</v>
      </c>
      <c r="R104" s="4" t="s">
        <v>402</v>
      </c>
      <c r="S104" s="4" t="s">
        <v>455</v>
      </c>
      <c r="T104" s="4" t="s">
        <v>456</v>
      </c>
      <c r="U104" s="4">
        <v>42000</v>
      </c>
      <c r="V104" s="4">
        <v>52000</v>
      </c>
      <c r="W104" s="7">
        <v>366080</v>
      </c>
      <c r="X104" s="58">
        <v>8.2167832167832161E-2</v>
      </c>
    </row>
    <row r="105" spans="1:24" x14ac:dyDescent="0.25">
      <c r="A105" s="17" t="s">
        <v>285</v>
      </c>
      <c r="B105" s="6">
        <v>45660</v>
      </c>
      <c r="C105" s="4" t="s">
        <v>168</v>
      </c>
      <c r="D105" s="4" t="s">
        <v>142</v>
      </c>
      <c r="E105" s="4" t="s">
        <v>99</v>
      </c>
      <c r="F105" s="7">
        <v>12</v>
      </c>
      <c r="G105" s="7">
        <v>0.08</v>
      </c>
      <c r="H105" s="7">
        <v>419520</v>
      </c>
      <c r="I105" s="4">
        <v>360000</v>
      </c>
      <c r="J105" s="7">
        <v>59520</v>
      </c>
      <c r="K105" s="4" t="s">
        <v>102</v>
      </c>
      <c r="L105" s="4" t="s">
        <v>122</v>
      </c>
      <c r="M105" s="4" t="s">
        <v>102</v>
      </c>
      <c r="N105" s="7">
        <v>419520</v>
      </c>
      <c r="O105" s="4" t="s">
        <v>510</v>
      </c>
      <c r="P105" s="4" t="s">
        <v>485</v>
      </c>
      <c r="Q105" s="4" t="s">
        <v>441</v>
      </c>
      <c r="R105" s="4" t="s">
        <v>399</v>
      </c>
      <c r="S105" s="4" t="s">
        <v>457</v>
      </c>
      <c r="T105" s="4" t="s">
        <v>456</v>
      </c>
      <c r="U105" s="4">
        <v>30000</v>
      </c>
      <c r="V105" s="4">
        <v>38000</v>
      </c>
      <c r="W105" s="7">
        <v>419520</v>
      </c>
      <c r="X105" s="58">
        <v>0.14187643020594959</v>
      </c>
    </row>
    <row r="106" spans="1:24" x14ac:dyDescent="0.25">
      <c r="A106" s="17" t="s">
        <v>286</v>
      </c>
      <c r="B106" s="6">
        <v>45772</v>
      </c>
      <c r="C106" s="4" t="s">
        <v>287</v>
      </c>
      <c r="D106" s="4" t="s">
        <v>209</v>
      </c>
      <c r="E106" s="4" t="s">
        <v>121</v>
      </c>
      <c r="F106" s="7">
        <v>17</v>
      </c>
      <c r="G106" s="7">
        <v>0</v>
      </c>
      <c r="H106" s="7">
        <v>61200</v>
      </c>
      <c r="I106" s="4">
        <v>40800</v>
      </c>
      <c r="J106" s="7">
        <v>20400</v>
      </c>
      <c r="K106" s="4" t="s">
        <v>102</v>
      </c>
      <c r="L106" s="4" t="s">
        <v>35</v>
      </c>
      <c r="M106" s="4" t="s">
        <v>102</v>
      </c>
      <c r="N106" s="7">
        <v>61200</v>
      </c>
      <c r="O106" s="4" t="s">
        <v>521</v>
      </c>
      <c r="P106" s="4" t="s">
        <v>520</v>
      </c>
      <c r="Q106" s="4" t="s">
        <v>425</v>
      </c>
      <c r="R106" s="4" t="s">
        <v>395</v>
      </c>
      <c r="S106" s="4" t="s">
        <v>476</v>
      </c>
      <c r="T106" s="4" t="s">
        <v>456</v>
      </c>
      <c r="U106" s="4">
        <v>2400</v>
      </c>
      <c r="V106" s="4">
        <v>3600</v>
      </c>
      <c r="W106" s="7">
        <v>61200</v>
      </c>
      <c r="X106" s="58">
        <v>0.33333333333333331</v>
      </c>
    </row>
    <row r="107" spans="1:24" x14ac:dyDescent="0.25">
      <c r="A107" s="17" t="s">
        <v>288</v>
      </c>
      <c r="B107" s="6">
        <v>45668</v>
      </c>
      <c r="C107" s="4" t="s">
        <v>139</v>
      </c>
      <c r="D107" s="4" t="s">
        <v>42</v>
      </c>
      <c r="E107" s="4" t="s">
        <v>43</v>
      </c>
      <c r="F107" s="7">
        <v>16</v>
      </c>
      <c r="G107" s="7">
        <v>0.03</v>
      </c>
      <c r="H107" s="7">
        <v>29488</v>
      </c>
      <c r="I107" s="4">
        <v>19200</v>
      </c>
      <c r="J107" s="7">
        <v>10288</v>
      </c>
      <c r="K107" s="4" t="s">
        <v>117</v>
      </c>
      <c r="L107" s="4" t="s">
        <v>35</v>
      </c>
      <c r="M107" s="4" t="s">
        <v>44</v>
      </c>
      <c r="N107" s="7">
        <v>29488</v>
      </c>
      <c r="O107" s="4" t="s">
        <v>553</v>
      </c>
      <c r="P107" s="4" t="s">
        <v>547</v>
      </c>
      <c r="Q107" s="4" t="s">
        <v>440</v>
      </c>
      <c r="R107" s="4" t="s">
        <v>395</v>
      </c>
      <c r="S107" s="4" t="s">
        <v>468</v>
      </c>
      <c r="T107" s="4" t="s">
        <v>460</v>
      </c>
      <c r="U107" s="4">
        <v>1200</v>
      </c>
      <c r="V107" s="4">
        <v>1900</v>
      </c>
      <c r="W107" s="7">
        <v>29488</v>
      </c>
      <c r="X107" s="58">
        <v>0.34888768312533908</v>
      </c>
    </row>
    <row r="108" spans="1:24" x14ac:dyDescent="0.25">
      <c r="A108" s="17" t="s">
        <v>289</v>
      </c>
      <c r="B108" s="6">
        <v>45750</v>
      </c>
      <c r="C108" s="4" t="s">
        <v>290</v>
      </c>
      <c r="D108" s="4" t="s">
        <v>84</v>
      </c>
      <c r="E108" s="4" t="s">
        <v>121</v>
      </c>
      <c r="F108" s="7">
        <v>7</v>
      </c>
      <c r="G108" s="7">
        <v>0.08</v>
      </c>
      <c r="H108" s="7">
        <v>23184</v>
      </c>
      <c r="I108" s="4">
        <v>16800</v>
      </c>
      <c r="J108" s="7">
        <v>6384</v>
      </c>
      <c r="K108" s="4" t="s">
        <v>44</v>
      </c>
      <c r="L108" s="4" t="s">
        <v>35</v>
      </c>
      <c r="M108" s="4" t="s">
        <v>44</v>
      </c>
      <c r="N108" s="7">
        <v>23184</v>
      </c>
      <c r="O108" s="4" t="s">
        <v>528</v>
      </c>
      <c r="P108" s="4" t="s">
        <v>520</v>
      </c>
      <c r="Q108" s="4" t="s">
        <v>439</v>
      </c>
      <c r="R108" s="4" t="s">
        <v>395</v>
      </c>
      <c r="S108" s="4" t="s">
        <v>476</v>
      </c>
      <c r="T108" s="4" t="s">
        <v>456</v>
      </c>
      <c r="U108" s="4">
        <v>2400</v>
      </c>
      <c r="V108" s="4">
        <v>3600</v>
      </c>
      <c r="W108" s="7">
        <v>23184</v>
      </c>
      <c r="X108" s="58">
        <v>0.27536231884057971</v>
      </c>
    </row>
    <row r="109" spans="1:24" x14ac:dyDescent="0.25">
      <c r="A109" s="17" t="s">
        <v>291</v>
      </c>
      <c r="B109" s="6">
        <v>45838</v>
      </c>
      <c r="C109" s="4" t="s">
        <v>160</v>
      </c>
      <c r="D109" s="4" t="s">
        <v>219</v>
      </c>
      <c r="E109" s="4" t="s">
        <v>116</v>
      </c>
      <c r="F109" s="7">
        <v>11</v>
      </c>
      <c r="G109" s="7">
        <v>0</v>
      </c>
      <c r="H109" s="7">
        <v>132000</v>
      </c>
      <c r="I109" s="4">
        <v>93500</v>
      </c>
      <c r="J109" s="7">
        <v>38500</v>
      </c>
      <c r="K109" s="4" t="s">
        <v>63</v>
      </c>
      <c r="L109" s="4" t="s">
        <v>35</v>
      </c>
      <c r="M109" s="4" t="s">
        <v>63</v>
      </c>
      <c r="N109" s="7">
        <v>132000</v>
      </c>
      <c r="O109" s="4" t="s">
        <v>501</v>
      </c>
      <c r="P109" s="4" t="s">
        <v>485</v>
      </c>
      <c r="Q109" s="4" t="s">
        <v>416</v>
      </c>
      <c r="R109" s="4" t="s">
        <v>399</v>
      </c>
      <c r="S109" s="4" t="s">
        <v>458</v>
      </c>
      <c r="T109" s="4" t="s">
        <v>456</v>
      </c>
      <c r="U109" s="4">
        <v>8500</v>
      </c>
      <c r="V109" s="4">
        <v>12000</v>
      </c>
      <c r="W109" s="7">
        <v>132000</v>
      </c>
      <c r="X109" s="58">
        <v>0.29166666666666669</v>
      </c>
    </row>
    <row r="110" spans="1:24" x14ac:dyDescent="0.25">
      <c r="A110" s="17" t="s">
        <v>292</v>
      </c>
      <c r="B110" s="6">
        <v>45825</v>
      </c>
      <c r="C110" s="4" t="s">
        <v>177</v>
      </c>
      <c r="D110" s="4" t="s">
        <v>56</v>
      </c>
      <c r="E110" s="4" t="s">
        <v>95</v>
      </c>
      <c r="F110" s="7">
        <v>6</v>
      </c>
      <c r="G110" s="7">
        <v>0.05</v>
      </c>
      <c r="H110" s="7">
        <v>296400</v>
      </c>
      <c r="I110" s="4">
        <v>252000</v>
      </c>
      <c r="J110" s="7">
        <v>44400</v>
      </c>
      <c r="K110" s="4" t="s">
        <v>63</v>
      </c>
      <c r="L110" s="4" t="s">
        <v>35</v>
      </c>
      <c r="M110" s="4" t="s">
        <v>63</v>
      </c>
      <c r="N110" s="7">
        <v>296400</v>
      </c>
      <c r="O110" s="4" t="s">
        <v>570</v>
      </c>
      <c r="P110" s="4" t="s">
        <v>478</v>
      </c>
      <c r="Q110" s="4" t="s">
        <v>417</v>
      </c>
      <c r="R110" s="4" t="s">
        <v>399</v>
      </c>
      <c r="S110" s="4" t="s">
        <v>455</v>
      </c>
      <c r="T110" s="4" t="s">
        <v>456</v>
      </c>
      <c r="U110" s="4">
        <v>42000</v>
      </c>
      <c r="V110" s="4">
        <v>52000</v>
      </c>
      <c r="W110" s="7">
        <v>296400</v>
      </c>
      <c r="X110" s="58">
        <v>0.1497975708502024</v>
      </c>
    </row>
    <row r="111" spans="1:24" x14ac:dyDescent="0.25">
      <c r="A111" s="17" t="s">
        <v>293</v>
      </c>
      <c r="B111" s="6">
        <v>45790</v>
      </c>
      <c r="C111" s="4" t="s">
        <v>239</v>
      </c>
      <c r="D111" s="4" t="s">
        <v>48</v>
      </c>
      <c r="E111" s="4" t="s">
        <v>195</v>
      </c>
      <c r="F111" s="7">
        <v>13</v>
      </c>
      <c r="G111" s="7">
        <v>0</v>
      </c>
      <c r="H111" s="7">
        <v>14300</v>
      </c>
      <c r="I111" s="4">
        <v>8450</v>
      </c>
      <c r="J111" s="7">
        <v>5850</v>
      </c>
      <c r="K111" s="4" t="s">
        <v>294</v>
      </c>
      <c r="L111" s="4" t="s">
        <v>45</v>
      </c>
      <c r="M111" s="4" t="s">
        <v>661</v>
      </c>
      <c r="N111" s="7">
        <v>14300</v>
      </c>
      <c r="O111" s="4" t="s">
        <v>568</v>
      </c>
      <c r="P111" s="4" t="s">
        <v>478</v>
      </c>
      <c r="Q111" s="4" t="s">
        <v>424</v>
      </c>
      <c r="R111" s="4" t="s">
        <v>402</v>
      </c>
      <c r="S111" s="4" t="s">
        <v>461</v>
      </c>
      <c r="T111" s="4" t="s">
        <v>460</v>
      </c>
      <c r="U111" s="4">
        <v>650</v>
      </c>
      <c r="V111" s="4">
        <v>1100</v>
      </c>
      <c r="W111" s="7">
        <v>14300</v>
      </c>
      <c r="X111" s="58">
        <v>0.40909090909090912</v>
      </c>
    </row>
    <row r="112" spans="1:24" x14ac:dyDescent="0.25">
      <c r="A112" s="17" t="s">
        <v>295</v>
      </c>
      <c r="B112" s="6">
        <v>45693</v>
      </c>
      <c r="C112" s="4" t="s">
        <v>119</v>
      </c>
      <c r="D112" s="4" t="s">
        <v>241</v>
      </c>
      <c r="E112" s="4" t="s">
        <v>71</v>
      </c>
      <c r="F112" s="7">
        <v>1</v>
      </c>
      <c r="G112" s="7">
        <v>0.08</v>
      </c>
      <c r="H112" s="7">
        <v>6624</v>
      </c>
      <c r="I112" s="4">
        <v>4800</v>
      </c>
      <c r="J112" s="7">
        <v>1824</v>
      </c>
      <c r="K112" s="4" t="s">
        <v>63</v>
      </c>
      <c r="L112" s="4" t="s">
        <v>35</v>
      </c>
      <c r="M112" s="4" t="s">
        <v>63</v>
      </c>
      <c r="N112" s="7">
        <v>6624</v>
      </c>
      <c r="O112" s="4" t="s">
        <v>566</v>
      </c>
      <c r="P112" s="4" t="s">
        <v>478</v>
      </c>
      <c r="Q112" s="4" t="s">
        <v>432</v>
      </c>
      <c r="R112" s="4" t="s">
        <v>399</v>
      </c>
      <c r="S112" s="4" t="s">
        <v>462</v>
      </c>
      <c r="T112" s="4" t="s">
        <v>463</v>
      </c>
      <c r="U112" s="4">
        <v>4800</v>
      </c>
      <c r="V112" s="4">
        <v>7200</v>
      </c>
      <c r="W112" s="7">
        <v>6624</v>
      </c>
      <c r="X112" s="58">
        <v>0.27536231884057971</v>
      </c>
    </row>
    <row r="113" spans="1:24" x14ac:dyDescent="0.25">
      <c r="A113" s="17" t="s">
        <v>296</v>
      </c>
      <c r="B113" s="6">
        <v>45750</v>
      </c>
      <c r="C113" s="4" t="s">
        <v>65</v>
      </c>
      <c r="D113" s="4" t="s">
        <v>94</v>
      </c>
      <c r="E113" s="4" t="s">
        <v>162</v>
      </c>
      <c r="F113" s="7">
        <v>6</v>
      </c>
      <c r="G113" s="7">
        <v>0</v>
      </c>
      <c r="H113" s="7">
        <v>96000</v>
      </c>
      <c r="I113" s="4">
        <v>69000</v>
      </c>
      <c r="J113" s="7">
        <v>27000</v>
      </c>
      <c r="K113" s="4" t="s">
        <v>63</v>
      </c>
      <c r="L113" s="4" t="s">
        <v>45</v>
      </c>
      <c r="M113" s="4" t="s">
        <v>63</v>
      </c>
      <c r="N113" s="7">
        <v>96000</v>
      </c>
      <c r="O113" s="4" t="s">
        <v>498</v>
      </c>
      <c r="P113" s="4" t="s">
        <v>485</v>
      </c>
      <c r="Q113" s="4" t="s">
        <v>435</v>
      </c>
      <c r="R113" s="4" t="s">
        <v>399</v>
      </c>
      <c r="S113" s="4" t="s">
        <v>471</v>
      </c>
      <c r="T113" s="4" t="s">
        <v>463</v>
      </c>
      <c r="U113" s="4">
        <v>11500</v>
      </c>
      <c r="V113" s="4">
        <v>16000</v>
      </c>
      <c r="W113" s="7">
        <v>96000</v>
      </c>
      <c r="X113" s="58">
        <v>0.28125</v>
      </c>
    </row>
    <row r="114" spans="1:24" x14ac:dyDescent="0.25">
      <c r="A114" s="17" t="s">
        <v>297</v>
      </c>
      <c r="B114" s="6">
        <v>45830</v>
      </c>
      <c r="C114" s="4" t="s">
        <v>160</v>
      </c>
      <c r="D114" s="4" t="s">
        <v>166</v>
      </c>
      <c r="E114" s="4" t="s">
        <v>67</v>
      </c>
      <c r="F114" s="7">
        <v>4</v>
      </c>
      <c r="G114" s="7">
        <v>0.05</v>
      </c>
      <c r="H114" s="7">
        <v>25840</v>
      </c>
      <c r="I114" s="4">
        <v>18000</v>
      </c>
      <c r="J114" s="7">
        <v>7840</v>
      </c>
      <c r="K114" s="4" t="s">
        <v>34</v>
      </c>
      <c r="L114" s="4" t="s">
        <v>660</v>
      </c>
      <c r="M114" s="4" t="s">
        <v>34</v>
      </c>
      <c r="N114" s="7">
        <v>25840</v>
      </c>
      <c r="O114" s="4" t="s">
        <v>501</v>
      </c>
      <c r="P114" s="4" t="s">
        <v>485</v>
      </c>
      <c r="Q114" s="4" t="s">
        <v>414</v>
      </c>
      <c r="R114" s="4" t="s">
        <v>399</v>
      </c>
      <c r="S114" s="4" t="s">
        <v>466</v>
      </c>
      <c r="T114" s="4" t="s">
        <v>456</v>
      </c>
      <c r="U114" s="4">
        <v>4500</v>
      </c>
      <c r="V114" s="4">
        <v>6800</v>
      </c>
      <c r="W114" s="7">
        <v>25840</v>
      </c>
      <c r="X114" s="58">
        <v>0.30340557275541802</v>
      </c>
    </row>
    <row r="115" spans="1:24" x14ac:dyDescent="0.25">
      <c r="A115" s="17" t="s">
        <v>298</v>
      </c>
      <c r="B115" s="6">
        <v>45804</v>
      </c>
      <c r="C115" s="4" t="s">
        <v>299</v>
      </c>
      <c r="D115" s="4" t="s">
        <v>166</v>
      </c>
      <c r="E115" s="4" t="s">
        <v>145</v>
      </c>
      <c r="F115" s="7">
        <v>2</v>
      </c>
      <c r="G115" s="7">
        <v>0</v>
      </c>
      <c r="H115" s="7">
        <v>5000</v>
      </c>
      <c r="I115" s="4">
        <v>3200</v>
      </c>
      <c r="J115" s="7">
        <v>1800</v>
      </c>
      <c r="K115" s="4" t="s">
        <v>34</v>
      </c>
      <c r="L115" s="4" t="s">
        <v>122</v>
      </c>
      <c r="M115" s="4" t="s">
        <v>34</v>
      </c>
      <c r="N115" s="7">
        <v>5000</v>
      </c>
      <c r="O115" s="4" t="s">
        <v>505</v>
      </c>
      <c r="P115" s="4" t="s">
        <v>485</v>
      </c>
      <c r="Q115" s="4" t="s">
        <v>414</v>
      </c>
      <c r="R115" s="4" t="s">
        <v>399</v>
      </c>
      <c r="S115" s="4" t="s">
        <v>469</v>
      </c>
      <c r="T115" s="4" t="s">
        <v>460</v>
      </c>
      <c r="U115" s="4">
        <v>1600</v>
      </c>
      <c r="V115" s="4">
        <v>2500</v>
      </c>
      <c r="W115" s="7">
        <v>5000</v>
      </c>
      <c r="X115" s="58">
        <v>0.36</v>
      </c>
    </row>
    <row r="116" spans="1:24" x14ac:dyDescent="0.25">
      <c r="A116" s="17" t="s">
        <v>300</v>
      </c>
      <c r="B116" s="6">
        <v>45704</v>
      </c>
      <c r="C116" s="4" t="s">
        <v>177</v>
      </c>
      <c r="D116" s="4" t="s">
        <v>144</v>
      </c>
      <c r="E116" s="4" t="s">
        <v>78</v>
      </c>
      <c r="F116" s="7">
        <v>6</v>
      </c>
      <c r="G116" s="7">
        <v>0.03</v>
      </c>
      <c r="H116" s="7">
        <v>52380</v>
      </c>
      <c r="I116" s="4">
        <v>39000</v>
      </c>
      <c r="J116" s="7">
        <v>13380</v>
      </c>
      <c r="K116" s="4" t="s">
        <v>63</v>
      </c>
      <c r="L116" s="4" t="s">
        <v>35</v>
      </c>
      <c r="M116" s="4" t="s">
        <v>63</v>
      </c>
      <c r="N116" s="7">
        <v>52380</v>
      </c>
      <c r="O116" s="4" t="s">
        <v>570</v>
      </c>
      <c r="P116" s="4" t="s">
        <v>478</v>
      </c>
      <c r="Q116" s="4" t="s">
        <v>447</v>
      </c>
      <c r="R116" s="4" t="s">
        <v>402</v>
      </c>
      <c r="S116" s="4" t="s">
        <v>465</v>
      </c>
      <c r="T116" s="4" t="s">
        <v>463</v>
      </c>
      <c r="U116" s="4">
        <v>6500</v>
      </c>
      <c r="V116" s="4">
        <v>9000</v>
      </c>
      <c r="W116" s="7">
        <v>52380</v>
      </c>
      <c r="X116" s="58">
        <v>0.25544100801832759</v>
      </c>
    </row>
    <row r="117" spans="1:24" x14ac:dyDescent="0.25">
      <c r="A117" s="17" t="s">
        <v>301</v>
      </c>
      <c r="B117" s="6">
        <v>45713</v>
      </c>
      <c r="C117" s="4" t="s">
        <v>278</v>
      </c>
      <c r="D117" s="4" t="s">
        <v>38</v>
      </c>
      <c r="E117" s="4" t="s">
        <v>81</v>
      </c>
      <c r="F117" s="7">
        <v>10</v>
      </c>
      <c r="G117" s="7">
        <v>0</v>
      </c>
      <c r="H117" s="7">
        <v>90000</v>
      </c>
      <c r="I117" s="4">
        <v>65000</v>
      </c>
      <c r="J117" s="7">
        <v>25000</v>
      </c>
      <c r="K117" s="4" t="s">
        <v>39</v>
      </c>
      <c r="L117" s="4" t="s">
        <v>35</v>
      </c>
      <c r="M117" s="4" t="s">
        <v>39</v>
      </c>
      <c r="N117" s="7">
        <v>90000</v>
      </c>
      <c r="O117" s="4" t="s">
        <v>555</v>
      </c>
      <c r="P117" s="4" t="s">
        <v>547</v>
      </c>
      <c r="Q117" s="4" t="s">
        <v>427</v>
      </c>
      <c r="R117" s="4" t="s">
        <v>399</v>
      </c>
      <c r="S117" s="4" t="s">
        <v>470</v>
      </c>
      <c r="T117" s="4" t="s">
        <v>456</v>
      </c>
      <c r="U117" s="4">
        <v>6500</v>
      </c>
      <c r="V117" s="4">
        <v>9000</v>
      </c>
      <c r="W117" s="7">
        <v>90000</v>
      </c>
      <c r="X117" s="58">
        <v>0.27777777777777779</v>
      </c>
    </row>
    <row r="118" spans="1:24" x14ac:dyDescent="0.25">
      <c r="A118" s="17" t="s">
        <v>302</v>
      </c>
      <c r="B118" s="6">
        <v>45694</v>
      </c>
      <c r="C118" s="4" t="s">
        <v>205</v>
      </c>
      <c r="D118" s="4" t="s">
        <v>262</v>
      </c>
      <c r="E118" s="4" t="s">
        <v>121</v>
      </c>
      <c r="F118" s="7">
        <v>14</v>
      </c>
      <c r="G118" s="7">
        <v>0.08</v>
      </c>
      <c r="H118" s="7">
        <v>46368</v>
      </c>
      <c r="I118" s="4">
        <v>33600</v>
      </c>
      <c r="J118" s="7">
        <v>12768</v>
      </c>
      <c r="K118" s="4" t="s">
        <v>39</v>
      </c>
      <c r="L118" s="4" t="s">
        <v>122</v>
      </c>
      <c r="M118" s="4" t="s">
        <v>39</v>
      </c>
      <c r="N118" s="7">
        <v>46368</v>
      </c>
      <c r="O118" s="4" t="s">
        <v>563</v>
      </c>
      <c r="P118" s="4" t="s">
        <v>478</v>
      </c>
      <c r="Q118" s="4" t="s">
        <v>403</v>
      </c>
      <c r="R118" s="4" t="s">
        <v>399</v>
      </c>
      <c r="S118" s="4" t="s">
        <v>476</v>
      </c>
      <c r="T118" s="4" t="s">
        <v>456</v>
      </c>
      <c r="U118" s="4">
        <v>2400</v>
      </c>
      <c r="V118" s="4">
        <v>3600</v>
      </c>
      <c r="W118" s="7">
        <v>46368</v>
      </c>
      <c r="X118" s="58">
        <v>0.27536231884057971</v>
      </c>
    </row>
    <row r="119" spans="1:24" x14ac:dyDescent="0.25">
      <c r="A119" s="17" t="s">
        <v>303</v>
      </c>
      <c r="B119" s="6">
        <v>45810</v>
      </c>
      <c r="C119" s="4" t="s">
        <v>290</v>
      </c>
      <c r="D119" s="4" t="s">
        <v>185</v>
      </c>
      <c r="E119" s="4" t="s">
        <v>195</v>
      </c>
      <c r="F119" s="7">
        <v>11</v>
      </c>
      <c r="G119" s="7">
        <v>0.05</v>
      </c>
      <c r="H119" s="7">
        <v>11495</v>
      </c>
      <c r="I119" s="4">
        <v>7150</v>
      </c>
      <c r="J119" s="7">
        <v>4345</v>
      </c>
      <c r="K119" s="4" t="s">
        <v>102</v>
      </c>
      <c r="L119" s="4" t="s">
        <v>660</v>
      </c>
      <c r="M119" s="4" t="s">
        <v>102</v>
      </c>
      <c r="N119" s="7">
        <v>11495</v>
      </c>
      <c r="O119" s="4" t="s">
        <v>528</v>
      </c>
      <c r="P119" s="4" t="s">
        <v>520</v>
      </c>
      <c r="Q119" s="4" t="s">
        <v>448</v>
      </c>
      <c r="R119" s="4" t="s">
        <v>402</v>
      </c>
      <c r="S119" s="4" t="s">
        <v>461</v>
      </c>
      <c r="T119" s="4" t="s">
        <v>460</v>
      </c>
      <c r="U119" s="4">
        <v>650</v>
      </c>
      <c r="V119" s="4">
        <v>1100</v>
      </c>
      <c r="W119" s="7">
        <v>11495</v>
      </c>
      <c r="X119" s="58">
        <v>0.37799043062200949</v>
      </c>
    </row>
    <row r="120" spans="1:24" x14ac:dyDescent="0.25">
      <c r="A120" s="17" t="s">
        <v>304</v>
      </c>
      <c r="B120" s="6">
        <v>45787</v>
      </c>
      <c r="C120" s="4" t="s">
        <v>230</v>
      </c>
      <c r="D120" s="4" t="s">
        <v>305</v>
      </c>
      <c r="E120" s="4" t="s">
        <v>95</v>
      </c>
      <c r="F120" s="7">
        <v>17</v>
      </c>
      <c r="G120" s="7">
        <v>0.12</v>
      </c>
      <c r="H120" s="7">
        <v>777920</v>
      </c>
      <c r="I120" s="4">
        <v>714000</v>
      </c>
      <c r="J120" s="7">
        <v>63920</v>
      </c>
      <c r="K120" s="4" t="s">
        <v>34</v>
      </c>
      <c r="L120" s="4" t="s">
        <v>35</v>
      </c>
      <c r="M120" s="4" t="s">
        <v>34</v>
      </c>
      <c r="N120" s="7">
        <v>777920</v>
      </c>
      <c r="O120" s="4" t="s">
        <v>559</v>
      </c>
      <c r="P120" s="4" t="s">
        <v>478</v>
      </c>
      <c r="Q120" s="4" t="s">
        <v>413</v>
      </c>
      <c r="R120" s="4" t="s">
        <v>399</v>
      </c>
      <c r="S120" s="4" t="s">
        <v>455</v>
      </c>
      <c r="T120" s="4" t="s">
        <v>456</v>
      </c>
      <c r="U120" s="4">
        <v>42000</v>
      </c>
      <c r="V120" s="4">
        <v>52000</v>
      </c>
      <c r="W120" s="7">
        <v>777920</v>
      </c>
      <c r="X120" s="58">
        <v>8.2167832167832161E-2</v>
      </c>
    </row>
    <row r="121" spans="1:24" x14ac:dyDescent="0.25">
      <c r="A121" s="17" t="s">
        <v>306</v>
      </c>
      <c r="B121" s="6">
        <v>45794</v>
      </c>
      <c r="C121" s="4" t="s">
        <v>307</v>
      </c>
      <c r="D121" s="4" t="s">
        <v>52</v>
      </c>
      <c r="E121" s="4" t="s">
        <v>116</v>
      </c>
      <c r="F121" s="7">
        <v>2</v>
      </c>
      <c r="G121" s="7">
        <v>0.12</v>
      </c>
      <c r="H121" s="7">
        <v>21120</v>
      </c>
      <c r="I121" s="4">
        <v>17000</v>
      </c>
      <c r="J121" s="7">
        <v>4120</v>
      </c>
      <c r="K121" s="4" t="s">
        <v>39</v>
      </c>
      <c r="L121" s="4" t="s">
        <v>35</v>
      </c>
      <c r="M121" s="4" t="s">
        <v>39</v>
      </c>
      <c r="N121" s="7">
        <v>21120</v>
      </c>
      <c r="O121" s="4" t="s">
        <v>537</v>
      </c>
      <c r="P121" s="4" t="s">
        <v>535</v>
      </c>
      <c r="Q121" s="4" t="s">
        <v>429</v>
      </c>
      <c r="R121" s="4" t="s">
        <v>395</v>
      </c>
      <c r="S121" s="4" t="s">
        <v>458</v>
      </c>
      <c r="T121" s="4" t="s">
        <v>456</v>
      </c>
      <c r="U121" s="4">
        <v>8500</v>
      </c>
      <c r="V121" s="4">
        <v>12000</v>
      </c>
      <c r="W121" s="7">
        <v>21120</v>
      </c>
      <c r="X121" s="58">
        <v>0.1950757575757576</v>
      </c>
    </row>
    <row r="122" spans="1:24" x14ac:dyDescent="0.25">
      <c r="A122" s="17" t="s">
        <v>308</v>
      </c>
      <c r="B122" s="6">
        <v>45658</v>
      </c>
      <c r="C122" s="4" t="s">
        <v>147</v>
      </c>
      <c r="D122" s="4" t="s">
        <v>98</v>
      </c>
      <c r="E122" s="4" t="s">
        <v>91</v>
      </c>
      <c r="F122" s="7">
        <v>18</v>
      </c>
      <c r="G122" s="7">
        <v>0.12</v>
      </c>
      <c r="H122" s="7">
        <v>53856</v>
      </c>
      <c r="I122" s="4">
        <v>39600</v>
      </c>
      <c r="J122" s="7">
        <v>14256</v>
      </c>
      <c r="K122" s="4" t="s">
        <v>39</v>
      </c>
      <c r="L122" s="4" t="s">
        <v>122</v>
      </c>
      <c r="M122" s="4" t="s">
        <v>39</v>
      </c>
      <c r="N122" s="7">
        <v>53856</v>
      </c>
      <c r="O122" s="4" t="s">
        <v>493</v>
      </c>
      <c r="P122" s="4" t="s">
        <v>485</v>
      </c>
      <c r="Q122" s="4" t="s">
        <v>428</v>
      </c>
      <c r="R122" s="4" t="s">
        <v>399</v>
      </c>
      <c r="S122" s="4" t="s">
        <v>467</v>
      </c>
      <c r="T122" s="4" t="s">
        <v>456</v>
      </c>
      <c r="U122" s="4">
        <v>2200</v>
      </c>
      <c r="V122" s="4">
        <v>3400</v>
      </c>
      <c r="W122" s="7">
        <v>53856</v>
      </c>
      <c r="X122" s="58">
        <v>0.26470588235294118</v>
      </c>
    </row>
    <row r="123" spans="1:24" x14ac:dyDescent="0.25">
      <c r="A123" s="17" t="s">
        <v>309</v>
      </c>
      <c r="B123" s="6">
        <v>45793</v>
      </c>
      <c r="C123" s="4" t="s">
        <v>141</v>
      </c>
      <c r="D123" s="4" t="s">
        <v>219</v>
      </c>
      <c r="E123" s="4" t="s">
        <v>121</v>
      </c>
      <c r="F123" s="7">
        <v>2</v>
      </c>
      <c r="G123" s="7">
        <v>0.1</v>
      </c>
      <c r="H123" s="7">
        <v>6480</v>
      </c>
      <c r="I123" s="4">
        <v>4800</v>
      </c>
      <c r="J123" s="7">
        <v>1680</v>
      </c>
      <c r="K123" s="4" t="s">
        <v>63</v>
      </c>
      <c r="L123" s="4" t="s">
        <v>45</v>
      </c>
      <c r="M123" s="4" t="s">
        <v>63</v>
      </c>
      <c r="N123" s="7">
        <v>6480</v>
      </c>
      <c r="O123" s="4" t="s">
        <v>540</v>
      </c>
      <c r="P123" s="4" t="s">
        <v>535</v>
      </c>
      <c r="Q123" s="4" t="s">
        <v>416</v>
      </c>
      <c r="R123" s="4" t="s">
        <v>399</v>
      </c>
      <c r="S123" s="4" t="s">
        <v>476</v>
      </c>
      <c r="T123" s="4" t="s">
        <v>456</v>
      </c>
      <c r="U123" s="4">
        <v>2400</v>
      </c>
      <c r="V123" s="4">
        <v>3600</v>
      </c>
      <c r="W123" s="7">
        <v>6480</v>
      </c>
      <c r="X123" s="58">
        <v>0.25925925925925919</v>
      </c>
    </row>
    <row r="124" spans="1:24" x14ac:dyDescent="0.25">
      <c r="A124" s="17" t="s">
        <v>310</v>
      </c>
      <c r="B124" s="6">
        <v>45692</v>
      </c>
      <c r="C124" s="4" t="s">
        <v>139</v>
      </c>
      <c r="D124" s="4" t="s">
        <v>209</v>
      </c>
      <c r="E124" s="4" t="s">
        <v>95</v>
      </c>
      <c r="F124" s="7">
        <v>4</v>
      </c>
      <c r="G124" s="7">
        <v>0.05</v>
      </c>
      <c r="H124" s="7">
        <v>197600</v>
      </c>
      <c r="I124" s="4">
        <v>168000</v>
      </c>
      <c r="J124" s="7">
        <v>29600</v>
      </c>
      <c r="K124" s="4" t="s">
        <v>102</v>
      </c>
      <c r="L124" s="4" t="s">
        <v>35</v>
      </c>
      <c r="M124" s="4" t="s">
        <v>102</v>
      </c>
      <c r="N124" s="7">
        <v>197600</v>
      </c>
      <c r="O124" s="4" t="s">
        <v>553</v>
      </c>
      <c r="P124" s="4" t="s">
        <v>547</v>
      </c>
      <c r="Q124" s="4" t="s">
        <v>425</v>
      </c>
      <c r="R124" s="4" t="s">
        <v>395</v>
      </c>
      <c r="S124" s="4" t="s">
        <v>455</v>
      </c>
      <c r="T124" s="4" t="s">
        <v>456</v>
      </c>
      <c r="U124" s="4">
        <v>42000</v>
      </c>
      <c r="V124" s="4">
        <v>52000</v>
      </c>
      <c r="W124" s="7">
        <v>197600</v>
      </c>
      <c r="X124" s="58">
        <v>0.1497975708502024</v>
      </c>
    </row>
    <row r="125" spans="1:24" x14ac:dyDescent="0.25">
      <c r="A125" s="17" t="s">
        <v>311</v>
      </c>
      <c r="B125" s="6">
        <v>45723</v>
      </c>
      <c r="C125" s="4" t="s">
        <v>312</v>
      </c>
      <c r="D125" s="4" t="s">
        <v>219</v>
      </c>
      <c r="E125" s="4" t="s">
        <v>99</v>
      </c>
      <c r="F125" s="7">
        <v>18</v>
      </c>
      <c r="G125" s="7">
        <v>0.05</v>
      </c>
      <c r="H125" s="7">
        <v>649800</v>
      </c>
      <c r="I125" s="4">
        <v>540000</v>
      </c>
      <c r="J125" s="7">
        <v>109800</v>
      </c>
      <c r="K125" s="4" t="s">
        <v>63</v>
      </c>
      <c r="L125" s="4" t="s">
        <v>122</v>
      </c>
      <c r="M125" s="4" t="s">
        <v>63</v>
      </c>
      <c r="N125" s="7">
        <v>649800</v>
      </c>
      <c r="O125" s="4" t="s">
        <v>502</v>
      </c>
      <c r="P125" s="4" t="s">
        <v>485</v>
      </c>
      <c r="Q125" s="4" t="s">
        <v>416</v>
      </c>
      <c r="R125" s="4" t="s">
        <v>399</v>
      </c>
      <c r="S125" s="4" t="s">
        <v>457</v>
      </c>
      <c r="T125" s="4" t="s">
        <v>456</v>
      </c>
      <c r="U125" s="4">
        <v>30000</v>
      </c>
      <c r="V125" s="4">
        <v>38000</v>
      </c>
      <c r="W125" s="7">
        <v>649800</v>
      </c>
      <c r="X125" s="58">
        <v>0.16897506925207759</v>
      </c>
    </row>
    <row r="126" spans="1:24" x14ac:dyDescent="0.25">
      <c r="A126" s="17" t="s">
        <v>313</v>
      </c>
      <c r="B126" s="6">
        <v>45754</v>
      </c>
      <c r="C126" s="4" t="s">
        <v>281</v>
      </c>
      <c r="D126" s="4" t="s">
        <v>314</v>
      </c>
      <c r="E126" s="4" t="s">
        <v>49</v>
      </c>
      <c r="F126" s="7">
        <v>17</v>
      </c>
      <c r="G126" s="7">
        <v>0</v>
      </c>
      <c r="H126" s="7">
        <v>81600</v>
      </c>
      <c r="I126" s="4">
        <v>54400</v>
      </c>
      <c r="J126" s="7">
        <v>27200</v>
      </c>
      <c r="K126" s="4" t="s">
        <v>102</v>
      </c>
      <c r="L126" s="4" t="s">
        <v>35</v>
      </c>
      <c r="M126" s="4" t="s">
        <v>102</v>
      </c>
      <c r="N126" s="7">
        <v>81600</v>
      </c>
      <c r="O126" s="4" t="s">
        <v>571</v>
      </c>
      <c r="P126" s="4" t="s">
        <v>478</v>
      </c>
      <c r="Q126" s="4" t="s">
        <v>445</v>
      </c>
      <c r="R126" s="4" t="s">
        <v>399</v>
      </c>
      <c r="S126" s="4" t="s">
        <v>472</v>
      </c>
      <c r="T126" s="4" t="s">
        <v>456</v>
      </c>
      <c r="U126" s="4">
        <v>3200</v>
      </c>
      <c r="V126" s="4">
        <v>4800</v>
      </c>
      <c r="W126" s="7">
        <v>81600</v>
      </c>
      <c r="X126" s="58">
        <v>0.33333333333333331</v>
      </c>
    </row>
    <row r="127" spans="1:24" x14ac:dyDescent="0.25">
      <c r="A127" s="17" t="s">
        <v>315</v>
      </c>
      <c r="B127" s="6">
        <v>45807</v>
      </c>
      <c r="C127" s="4" t="s">
        <v>111</v>
      </c>
      <c r="D127" s="4" t="s">
        <v>227</v>
      </c>
      <c r="E127" s="4" t="s">
        <v>145</v>
      </c>
      <c r="F127" s="7">
        <v>14</v>
      </c>
      <c r="G127" s="7">
        <v>0.1</v>
      </c>
      <c r="H127" s="7">
        <v>31500</v>
      </c>
      <c r="I127" s="4">
        <v>22400</v>
      </c>
      <c r="J127" s="7">
        <v>9100</v>
      </c>
      <c r="K127" s="4" t="s">
        <v>44</v>
      </c>
      <c r="L127" s="4" t="s">
        <v>35</v>
      </c>
      <c r="M127" s="4" t="s">
        <v>44</v>
      </c>
      <c r="N127" s="7">
        <v>31500</v>
      </c>
      <c r="O127" s="4" t="s">
        <v>509</v>
      </c>
      <c r="P127" s="4" t="s">
        <v>485</v>
      </c>
      <c r="Q127" s="4" t="s">
        <v>401</v>
      </c>
      <c r="R127" s="4" t="s">
        <v>402</v>
      </c>
      <c r="S127" s="4" t="s">
        <v>469</v>
      </c>
      <c r="T127" s="4" t="s">
        <v>460</v>
      </c>
      <c r="U127" s="4">
        <v>1600</v>
      </c>
      <c r="V127" s="4">
        <v>2500</v>
      </c>
      <c r="W127" s="7">
        <v>31500</v>
      </c>
      <c r="X127" s="58">
        <v>0.28888888888888892</v>
      </c>
    </row>
    <row r="128" spans="1:24" x14ac:dyDescent="0.25">
      <c r="A128" s="17" t="s">
        <v>316</v>
      </c>
      <c r="B128" s="6">
        <v>45710</v>
      </c>
      <c r="C128" s="4" t="s">
        <v>160</v>
      </c>
      <c r="D128" s="4" t="s">
        <v>77</v>
      </c>
      <c r="E128" s="4" t="s">
        <v>152</v>
      </c>
      <c r="F128" s="7">
        <v>13</v>
      </c>
      <c r="G128" s="7">
        <v>0.12</v>
      </c>
      <c r="H128" s="7">
        <v>32032</v>
      </c>
      <c r="I128" s="4">
        <v>23400</v>
      </c>
      <c r="J128" s="7">
        <v>8632</v>
      </c>
      <c r="K128" s="4" t="s">
        <v>63</v>
      </c>
      <c r="L128" s="4" t="s">
        <v>35</v>
      </c>
      <c r="M128" s="4" t="s">
        <v>63</v>
      </c>
      <c r="N128" s="7">
        <v>32032</v>
      </c>
      <c r="O128" s="4" t="s">
        <v>501</v>
      </c>
      <c r="P128" s="4" t="s">
        <v>485</v>
      </c>
      <c r="Q128" s="4" t="s">
        <v>410</v>
      </c>
      <c r="R128" s="4" t="s">
        <v>402</v>
      </c>
      <c r="S128" s="4" t="s">
        <v>459</v>
      </c>
      <c r="T128" s="4" t="s">
        <v>460</v>
      </c>
      <c r="U128" s="4">
        <v>1800</v>
      </c>
      <c r="V128" s="4">
        <v>2800</v>
      </c>
      <c r="W128" s="7">
        <v>32032</v>
      </c>
      <c r="X128" s="58">
        <v>0.26948051948051949</v>
      </c>
    </row>
    <row r="129" spans="1:24" x14ac:dyDescent="0.25">
      <c r="A129" s="17" t="s">
        <v>317</v>
      </c>
      <c r="B129" s="6">
        <v>45736</v>
      </c>
      <c r="C129" s="4" t="s">
        <v>173</v>
      </c>
      <c r="D129" s="4" t="s">
        <v>120</v>
      </c>
      <c r="E129" s="4" t="s">
        <v>195</v>
      </c>
      <c r="F129" s="7">
        <v>16</v>
      </c>
      <c r="G129" s="7">
        <v>0.03</v>
      </c>
      <c r="H129" s="7">
        <v>17072</v>
      </c>
      <c r="I129" s="4">
        <v>10400</v>
      </c>
      <c r="J129" s="7">
        <v>6672</v>
      </c>
      <c r="K129" s="4" t="s">
        <v>44</v>
      </c>
      <c r="L129" s="4" t="s">
        <v>35</v>
      </c>
      <c r="M129" s="4" t="s">
        <v>44</v>
      </c>
      <c r="N129" s="7">
        <v>17072</v>
      </c>
      <c r="O129" s="4" t="s">
        <v>578</v>
      </c>
      <c r="P129" s="4" t="s">
        <v>579</v>
      </c>
      <c r="Q129" s="4" t="s">
        <v>419</v>
      </c>
      <c r="R129" s="4" t="s">
        <v>402</v>
      </c>
      <c r="S129" s="4" t="s">
        <v>461</v>
      </c>
      <c r="T129" s="4" t="s">
        <v>460</v>
      </c>
      <c r="U129" s="4">
        <v>650</v>
      </c>
      <c r="V129" s="4">
        <v>1100</v>
      </c>
      <c r="W129" s="7">
        <v>17072</v>
      </c>
      <c r="X129" s="58">
        <v>0.39081537019681351</v>
      </c>
    </row>
    <row r="130" spans="1:24" x14ac:dyDescent="0.25">
      <c r="A130" s="17" t="s">
        <v>318</v>
      </c>
      <c r="B130" s="6">
        <v>45716</v>
      </c>
      <c r="C130" s="4" t="s">
        <v>221</v>
      </c>
      <c r="D130" s="4" t="s">
        <v>144</v>
      </c>
      <c r="E130" s="4" t="s">
        <v>162</v>
      </c>
      <c r="F130" s="7">
        <v>4</v>
      </c>
      <c r="G130" s="7">
        <v>0.1</v>
      </c>
      <c r="H130" s="7">
        <v>57600</v>
      </c>
      <c r="I130" s="4">
        <v>46000</v>
      </c>
      <c r="J130" s="7">
        <v>11600</v>
      </c>
      <c r="K130" s="4" t="s">
        <v>63</v>
      </c>
      <c r="L130" s="4" t="s">
        <v>35</v>
      </c>
      <c r="M130" s="4" t="s">
        <v>63</v>
      </c>
      <c r="N130" s="7">
        <v>57600</v>
      </c>
      <c r="O130" s="4" t="s">
        <v>503</v>
      </c>
      <c r="P130" s="4" t="s">
        <v>485</v>
      </c>
      <c r="Q130" s="4" t="s">
        <v>447</v>
      </c>
      <c r="R130" s="4" t="s">
        <v>402</v>
      </c>
      <c r="S130" s="4" t="s">
        <v>471</v>
      </c>
      <c r="T130" s="4" t="s">
        <v>463</v>
      </c>
      <c r="U130" s="4">
        <v>11500</v>
      </c>
      <c r="V130" s="4">
        <v>16000</v>
      </c>
      <c r="W130" s="7">
        <v>57600</v>
      </c>
      <c r="X130" s="58">
        <v>0.2013888888888889</v>
      </c>
    </row>
    <row r="131" spans="1:24" x14ac:dyDescent="0.25">
      <c r="A131" s="17" t="s">
        <v>319</v>
      </c>
      <c r="B131" s="6">
        <v>45798</v>
      </c>
      <c r="C131" s="4" t="s">
        <v>276</v>
      </c>
      <c r="D131" s="4" t="s">
        <v>231</v>
      </c>
      <c r="E131" s="4" t="s">
        <v>62</v>
      </c>
      <c r="F131" s="7">
        <v>11</v>
      </c>
      <c r="G131" s="7">
        <v>0.12</v>
      </c>
      <c r="H131" s="7">
        <v>101640</v>
      </c>
      <c r="I131" s="4">
        <v>82500</v>
      </c>
      <c r="J131" s="7">
        <v>19140</v>
      </c>
      <c r="K131" s="4" t="s">
        <v>117</v>
      </c>
      <c r="L131" s="4" t="s">
        <v>45</v>
      </c>
      <c r="M131" s="4" t="s">
        <v>44</v>
      </c>
      <c r="N131" s="7">
        <v>101640</v>
      </c>
      <c r="O131" s="4" t="s">
        <v>588</v>
      </c>
      <c r="P131" s="4" t="s">
        <v>579</v>
      </c>
      <c r="Q131" s="4" t="s">
        <v>438</v>
      </c>
      <c r="R131" s="4" t="s">
        <v>395</v>
      </c>
      <c r="S131" s="4" t="s">
        <v>464</v>
      </c>
      <c r="T131" s="4" t="s">
        <v>463</v>
      </c>
      <c r="U131" s="4">
        <v>7500</v>
      </c>
      <c r="V131" s="4">
        <v>10500</v>
      </c>
      <c r="W131" s="7">
        <v>101640</v>
      </c>
      <c r="X131" s="58">
        <v>0.18831168831168829</v>
      </c>
    </row>
    <row r="132" spans="1:24" x14ac:dyDescent="0.25">
      <c r="A132" s="17" t="s">
        <v>320</v>
      </c>
      <c r="B132" s="6">
        <v>45681</v>
      </c>
      <c r="C132" s="4" t="s">
        <v>31</v>
      </c>
      <c r="D132" s="4" t="s">
        <v>52</v>
      </c>
      <c r="E132" s="4" t="s">
        <v>53</v>
      </c>
      <c r="F132" s="7">
        <v>1</v>
      </c>
      <c r="G132" s="7">
        <v>0.12</v>
      </c>
      <c r="H132" s="7">
        <v>3696</v>
      </c>
      <c r="I132" s="4">
        <v>2800</v>
      </c>
      <c r="J132" s="7">
        <v>896</v>
      </c>
      <c r="K132" s="4" t="s">
        <v>39</v>
      </c>
      <c r="L132" s="4" t="s">
        <v>35</v>
      </c>
      <c r="M132" s="4" t="s">
        <v>39</v>
      </c>
      <c r="N132" s="7">
        <v>3696</v>
      </c>
      <c r="O132" s="4" t="s">
        <v>569</v>
      </c>
      <c r="P132" s="4" t="s">
        <v>478</v>
      </c>
      <c r="Q132" s="4" t="s">
        <v>429</v>
      </c>
      <c r="R132" s="4" t="s">
        <v>395</v>
      </c>
      <c r="S132" s="4" t="s">
        <v>473</v>
      </c>
      <c r="T132" s="4" t="s">
        <v>456</v>
      </c>
      <c r="U132" s="4">
        <v>2800</v>
      </c>
      <c r="V132" s="4">
        <v>4200</v>
      </c>
      <c r="W132" s="7">
        <v>3696</v>
      </c>
      <c r="X132" s="58">
        <v>0.2424242424242424</v>
      </c>
    </row>
    <row r="133" spans="1:24" x14ac:dyDescent="0.25">
      <c r="A133" s="17" t="s">
        <v>321</v>
      </c>
      <c r="B133" s="6">
        <v>45678</v>
      </c>
      <c r="C133" s="4" t="s">
        <v>322</v>
      </c>
      <c r="D133" s="4" t="s">
        <v>231</v>
      </c>
      <c r="E133" s="4" t="s">
        <v>195</v>
      </c>
      <c r="F133" s="7">
        <v>8</v>
      </c>
      <c r="G133" s="7">
        <v>0.03</v>
      </c>
      <c r="H133" s="7">
        <v>8536</v>
      </c>
      <c r="I133" s="4">
        <v>5200</v>
      </c>
      <c r="J133" s="7">
        <v>3336</v>
      </c>
      <c r="K133" s="4" t="s">
        <v>44</v>
      </c>
      <c r="L133" s="4" t="s">
        <v>45</v>
      </c>
      <c r="M133" s="4" t="s">
        <v>44</v>
      </c>
      <c r="N133" s="7">
        <v>8536</v>
      </c>
      <c r="O133" s="4" t="s">
        <v>576</v>
      </c>
      <c r="P133" s="4" t="s">
        <v>478</v>
      </c>
      <c r="Q133" s="4" t="s">
        <v>438</v>
      </c>
      <c r="R133" s="4" t="s">
        <v>395</v>
      </c>
      <c r="S133" s="4" t="s">
        <v>461</v>
      </c>
      <c r="T133" s="4" t="s">
        <v>460</v>
      </c>
      <c r="U133" s="4">
        <v>650</v>
      </c>
      <c r="V133" s="4">
        <v>1100</v>
      </c>
      <c r="W133" s="7">
        <v>8536</v>
      </c>
      <c r="X133" s="58">
        <v>0.39081537019681351</v>
      </c>
    </row>
    <row r="134" spans="1:24" x14ac:dyDescent="0.25">
      <c r="A134" s="17" t="s">
        <v>323</v>
      </c>
      <c r="B134" s="6">
        <v>45810</v>
      </c>
      <c r="C134" s="4" t="s">
        <v>154</v>
      </c>
      <c r="D134" s="4" t="s">
        <v>48</v>
      </c>
      <c r="E134" s="4" t="s">
        <v>57</v>
      </c>
      <c r="F134" s="7">
        <v>17</v>
      </c>
      <c r="G134" s="7">
        <v>0.03</v>
      </c>
      <c r="H134" s="7">
        <v>85748</v>
      </c>
      <c r="I134" s="4">
        <v>59500</v>
      </c>
      <c r="J134" s="7">
        <v>26248</v>
      </c>
      <c r="K134" s="4" t="s">
        <v>39</v>
      </c>
      <c r="L134" s="4" t="s">
        <v>45</v>
      </c>
      <c r="M134" s="4" t="s">
        <v>39</v>
      </c>
      <c r="N134" s="7">
        <v>85748</v>
      </c>
      <c r="O134" s="4" t="s">
        <v>546</v>
      </c>
      <c r="P134" s="4" t="s">
        <v>547</v>
      </c>
      <c r="Q134" s="4" t="s">
        <v>424</v>
      </c>
      <c r="R134" s="4" t="s">
        <v>402</v>
      </c>
      <c r="S134" s="4" t="s">
        <v>477</v>
      </c>
      <c r="T134" s="4" t="s">
        <v>478</v>
      </c>
      <c r="U134" s="4">
        <v>3500</v>
      </c>
      <c r="V134" s="4">
        <v>5200</v>
      </c>
      <c r="W134" s="7">
        <v>85748</v>
      </c>
      <c r="X134" s="58">
        <v>0.30610626486915149</v>
      </c>
    </row>
    <row r="135" spans="1:24" x14ac:dyDescent="0.25">
      <c r="A135" s="17" t="s">
        <v>325</v>
      </c>
      <c r="B135" s="6">
        <v>45826</v>
      </c>
      <c r="C135" s="4" t="s">
        <v>326</v>
      </c>
      <c r="D135" s="4" t="s">
        <v>125</v>
      </c>
      <c r="E135" s="4" t="s">
        <v>195</v>
      </c>
      <c r="F135" s="7">
        <v>7</v>
      </c>
      <c r="G135" s="7">
        <v>0.12</v>
      </c>
      <c r="H135" s="7">
        <v>6776</v>
      </c>
      <c r="I135" s="4">
        <v>4550</v>
      </c>
      <c r="J135" s="7">
        <v>2226</v>
      </c>
      <c r="K135" s="4" t="s">
        <v>39</v>
      </c>
      <c r="L135" s="4" t="s">
        <v>122</v>
      </c>
      <c r="M135" s="4" t="s">
        <v>39</v>
      </c>
      <c r="N135" s="7">
        <v>6776</v>
      </c>
      <c r="O135" s="4" t="s">
        <v>495</v>
      </c>
      <c r="P135" s="4" t="s">
        <v>485</v>
      </c>
      <c r="Q135" s="4" t="s">
        <v>450</v>
      </c>
      <c r="R135" s="4" t="s">
        <v>395</v>
      </c>
      <c r="S135" s="4" t="s">
        <v>461</v>
      </c>
      <c r="T135" s="4" t="s">
        <v>460</v>
      </c>
      <c r="U135" s="4">
        <v>650</v>
      </c>
      <c r="V135" s="4">
        <v>1100</v>
      </c>
      <c r="W135" s="7">
        <v>6776</v>
      </c>
      <c r="X135" s="58">
        <v>0.32851239669421489</v>
      </c>
    </row>
    <row r="136" spans="1:24" x14ac:dyDescent="0.25">
      <c r="A136" s="17" t="s">
        <v>327</v>
      </c>
      <c r="B136" s="6">
        <v>45701</v>
      </c>
      <c r="C136" s="4" t="s">
        <v>119</v>
      </c>
      <c r="D136" s="4" t="s">
        <v>272</v>
      </c>
      <c r="E136" s="4" t="s">
        <v>81</v>
      </c>
      <c r="F136" s="7">
        <v>8</v>
      </c>
      <c r="G136" s="7">
        <v>0.08</v>
      </c>
      <c r="H136" s="7">
        <v>66240</v>
      </c>
      <c r="I136" s="4">
        <v>52000</v>
      </c>
      <c r="J136" s="7">
        <v>14240</v>
      </c>
      <c r="K136" s="4" t="s">
        <v>44</v>
      </c>
      <c r="L136" s="4" t="s">
        <v>35</v>
      </c>
      <c r="M136" s="4" t="s">
        <v>44</v>
      </c>
      <c r="N136" s="7">
        <v>66240</v>
      </c>
      <c r="O136" s="4" t="s">
        <v>566</v>
      </c>
      <c r="P136" s="4" t="s">
        <v>478</v>
      </c>
      <c r="Q136" s="4" t="s">
        <v>436</v>
      </c>
      <c r="R136" s="4" t="s">
        <v>402</v>
      </c>
      <c r="S136" s="4" t="s">
        <v>470</v>
      </c>
      <c r="T136" s="4" t="s">
        <v>456</v>
      </c>
      <c r="U136" s="4">
        <v>6500</v>
      </c>
      <c r="V136" s="4">
        <v>9000</v>
      </c>
      <c r="W136" s="7">
        <v>66240</v>
      </c>
      <c r="X136" s="58">
        <v>0.214975845410628</v>
      </c>
    </row>
    <row r="137" spans="1:24" x14ac:dyDescent="0.25">
      <c r="A137" s="17" t="s">
        <v>328</v>
      </c>
      <c r="B137" s="6">
        <v>45760</v>
      </c>
      <c r="C137" s="4" t="s">
        <v>47</v>
      </c>
      <c r="D137" s="4" t="s">
        <v>241</v>
      </c>
      <c r="E137" s="4" t="s">
        <v>162</v>
      </c>
      <c r="F137" s="7">
        <v>9</v>
      </c>
      <c r="G137" s="7">
        <v>0.12</v>
      </c>
      <c r="H137" s="7">
        <v>126720</v>
      </c>
      <c r="I137" s="4">
        <v>103500</v>
      </c>
      <c r="J137" s="7">
        <v>23220</v>
      </c>
      <c r="K137" s="4" t="s">
        <v>63</v>
      </c>
      <c r="L137" s="4" t="s">
        <v>660</v>
      </c>
      <c r="M137" s="4" t="s">
        <v>63</v>
      </c>
      <c r="N137" s="7">
        <v>126720</v>
      </c>
      <c r="O137" s="4" t="s">
        <v>581</v>
      </c>
      <c r="P137" s="4" t="s">
        <v>579</v>
      </c>
      <c r="Q137" s="4" t="s">
        <v>432</v>
      </c>
      <c r="R137" s="4" t="s">
        <v>399</v>
      </c>
      <c r="S137" s="4" t="s">
        <v>471</v>
      </c>
      <c r="T137" s="4" t="s">
        <v>463</v>
      </c>
      <c r="U137" s="4">
        <v>11500</v>
      </c>
      <c r="V137" s="4">
        <v>16000</v>
      </c>
      <c r="W137" s="7">
        <v>126720</v>
      </c>
      <c r="X137" s="58">
        <v>0.18323863636363641</v>
      </c>
    </row>
    <row r="138" spans="1:24" x14ac:dyDescent="0.25">
      <c r="A138" s="17" t="s">
        <v>329</v>
      </c>
      <c r="B138" s="6">
        <v>45798</v>
      </c>
      <c r="C138" s="4" t="s">
        <v>330</v>
      </c>
      <c r="D138" s="4" t="s">
        <v>227</v>
      </c>
      <c r="E138" s="4" t="s">
        <v>33</v>
      </c>
      <c r="F138" s="7">
        <v>3</v>
      </c>
      <c r="G138" s="7">
        <v>0</v>
      </c>
      <c r="H138" s="7">
        <v>10800</v>
      </c>
      <c r="I138" s="4">
        <v>7200</v>
      </c>
      <c r="J138" s="7">
        <v>3600</v>
      </c>
      <c r="K138" s="4" t="s">
        <v>44</v>
      </c>
      <c r="L138" s="4" t="s">
        <v>35</v>
      </c>
      <c r="M138" s="4" t="s">
        <v>44</v>
      </c>
      <c r="N138" s="7">
        <v>10800</v>
      </c>
      <c r="O138" s="4" t="s">
        <v>580</v>
      </c>
      <c r="P138" s="4" t="s">
        <v>579</v>
      </c>
      <c r="Q138" s="4" t="s">
        <v>401</v>
      </c>
      <c r="R138" s="4" t="s">
        <v>402</v>
      </c>
      <c r="S138" s="4" t="s">
        <v>475</v>
      </c>
      <c r="T138" s="4" t="s">
        <v>460</v>
      </c>
      <c r="U138" s="4">
        <v>2400</v>
      </c>
      <c r="V138" s="4">
        <v>3600</v>
      </c>
      <c r="W138" s="7">
        <v>10800</v>
      </c>
      <c r="X138" s="58">
        <v>0.33333333333333331</v>
      </c>
    </row>
    <row r="139" spans="1:24" x14ac:dyDescent="0.25">
      <c r="A139" s="17" t="s">
        <v>331</v>
      </c>
      <c r="B139" s="6">
        <v>45813</v>
      </c>
      <c r="C139" s="4" t="s">
        <v>41</v>
      </c>
      <c r="D139" s="4" t="s">
        <v>185</v>
      </c>
      <c r="E139" s="4" t="s">
        <v>162</v>
      </c>
      <c r="F139" s="7">
        <v>9</v>
      </c>
      <c r="G139" s="7">
        <v>0</v>
      </c>
      <c r="H139" s="7">
        <v>144000</v>
      </c>
      <c r="I139" s="4">
        <v>103500</v>
      </c>
      <c r="J139" s="7">
        <v>40500</v>
      </c>
      <c r="K139" s="4" t="s">
        <v>102</v>
      </c>
      <c r="L139" s="4" t="s">
        <v>35</v>
      </c>
      <c r="M139" s="4" t="s">
        <v>102</v>
      </c>
      <c r="N139" s="7">
        <v>144000</v>
      </c>
      <c r="O139" s="4" t="s">
        <v>534</v>
      </c>
      <c r="P139" s="4" t="s">
        <v>535</v>
      </c>
      <c r="Q139" s="4" t="s">
        <v>448</v>
      </c>
      <c r="R139" s="4" t="s">
        <v>402</v>
      </c>
      <c r="S139" s="4" t="s">
        <v>471</v>
      </c>
      <c r="T139" s="4" t="s">
        <v>463</v>
      </c>
      <c r="U139" s="4">
        <v>11500</v>
      </c>
      <c r="V139" s="4">
        <v>16000</v>
      </c>
      <c r="W139" s="7">
        <v>144000</v>
      </c>
      <c r="X139" s="58">
        <v>0.28125</v>
      </c>
    </row>
    <row r="140" spans="1:24" x14ac:dyDescent="0.25">
      <c r="A140" s="17" t="s">
        <v>332</v>
      </c>
      <c r="B140" s="6">
        <v>45685</v>
      </c>
      <c r="C140" s="4" t="s">
        <v>83</v>
      </c>
      <c r="D140" s="4" t="s">
        <v>164</v>
      </c>
      <c r="E140" s="4" t="s">
        <v>91</v>
      </c>
      <c r="F140" s="7">
        <v>14</v>
      </c>
      <c r="G140" s="7">
        <v>0.08</v>
      </c>
      <c r="H140" s="7">
        <v>43792</v>
      </c>
      <c r="I140" s="4">
        <v>30800</v>
      </c>
      <c r="J140" s="7">
        <v>12992</v>
      </c>
      <c r="K140" s="4" t="s">
        <v>44</v>
      </c>
      <c r="L140" s="4" t="s">
        <v>35</v>
      </c>
      <c r="M140" s="4" t="s">
        <v>44</v>
      </c>
      <c r="N140" s="7">
        <v>43792</v>
      </c>
      <c r="O140" s="4" t="s">
        <v>523</v>
      </c>
      <c r="P140" s="4" t="s">
        <v>520</v>
      </c>
      <c r="Q140" s="4" t="s">
        <v>422</v>
      </c>
      <c r="R140" s="4" t="s">
        <v>402</v>
      </c>
      <c r="S140" s="4" t="s">
        <v>467</v>
      </c>
      <c r="T140" s="4" t="s">
        <v>456</v>
      </c>
      <c r="U140" s="4">
        <v>2200</v>
      </c>
      <c r="V140" s="4">
        <v>3400</v>
      </c>
      <c r="W140" s="7">
        <v>43792</v>
      </c>
      <c r="X140" s="58">
        <v>0.29667519181585678</v>
      </c>
    </row>
    <row r="141" spans="1:24" x14ac:dyDescent="0.25">
      <c r="A141" s="17" t="s">
        <v>333</v>
      </c>
      <c r="B141" s="6">
        <v>45805</v>
      </c>
      <c r="C141" s="4" t="s">
        <v>334</v>
      </c>
      <c r="D141" s="4" t="s">
        <v>133</v>
      </c>
      <c r="E141" s="4" t="s">
        <v>67</v>
      </c>
      <c r="F141" s="7">
        <v>9</v>
      </c>
      <c r="G141" s="7">
        <v>0.08</v>
      </c>
      <c r="H141" s="7">
        <v>56304</v>
      </c>
      <c r="I141" s="4">
        <v>40500</v>
      </c>
      <c r="J141" s="7">
        <v>15804</v>
      </c>
      <c r="K141" s="4" t="s">
        <v>39</v>
      </c>
      <c r="L141" s="4" t="s">
        <v>45</v>
      </c>
      <c r="M141" s="4" t="s">
        <v>39</v>
      </c>
      <c r="N141" s="7">
        <v>56304</v>
      </c>
      <c r="O141" s="4" t="s">
        <v>556</v>
      </c>
      <c r="P141" s="4" t="s">
        <v>547</v>
      </c>
      <c r="Q141" s="4" t="s">
        <v>412</v>
      </c>
      <c r="R141" s="4" t="s">
        <v>402</v>
      </c>
      <c r="S141" s="4" t="s">
        <v>466</v>
      </c>
      <c r="T141" s="4" t="s">
        <v>456</v>
      </c>
      <c r="U141" s="4">
        <v>4500</v>
      </c>
      <c r="V141" s="4">
        <v>6800</v>
      </c>
      <c r="W141" s="7">
        <v>56304</v>
      </c>
      <c r="X141" s="58">
        <v>0.28069053708439901</v>
      </c>
    </row>
    <row r="142" spans="1:24" x14ac:dyDescent="0.25">
      <c r="A142" s="17" t="s">
        <v>335</v>
      </c>
      <c r="B142" s="6">
        <v>45775</v>
      </c>
      <c r="C142" s="4" t="s">
        <v>336</v>
      </c>
      <c r="D142" s="4" t="s">
        <v>241</v>
      </c>
      <c r="E142" s="4" t="s">
        <v>67</v>
      </c>
      <c r="F142" s="7">
        <v>11</v>
      </c>
      <c r="G142" s="7">
        <v>0.12</v>
      </c>
      <c r="H142" s="7">
        <v>65824</v>
      </c>
      <c r="I142" s="4">
        <v>49500</v>
      </c>
      <c r="J142" s="7">
        <v>16324</v>
      </c>
      <c r="K142" s="4" t="s">
        <v>63</v>
      </c>
      <c r="L142" s="4" t="s">
        <v>45</v>
      </c>
      <c r="M142" s="4" t="s">
        <v>63</v>
      </c>
      <c r="N142" s="7">
        <v>65824</v>
      </c>
      <c r="O142" s="4" t="s">
        <v>517</v>
      </c>
      <c r="P142" s="4" t="s">
        <v>485</v>
      </c>
      <c r="Q142" s="4" t="s">
        <v>432</v>
      </c>
      <c r="R142" s="4" t="s">
        <v>399</v>
      </c>
      <c r="S142" s="4" t="s">
        <v>466</v>
      </c>
      <c r="T142" s="4" t="s">
        <v>456</v>
      </c>
      <c r="U142" s="4">
        <v>4500</v>
      </c>
      <c r="V142" s="4">
        <v>6800</v>
      </c>
      <c r="W142" s="7">
        <v>65824</v>
      </c>
      <c r="X142" s="58">
        <v>0.2479946524064171</v>
      </c>
    </row>
    <row r="143" spans="1:24" x14ac:dyDescent="0.25">
      <c r="A143" s="17" t="s">
        <v>337</v>
      </c>
      <c r="B143" s="6">
        <v>45820</v>
      </c>
      <c r="C143" s="4" t="s">
        <v>287</v>
      </c>
      <c r="D143" s="4" t="s">
        <v>52</v>
      </c>
      <c r="E143" s="4" t="s">
        <v>67</v>
      </c>
      <c r="F143" s="7">
        <v>3</v>
      </c>
      <c r="G143" s="7">
        <v>0.05</v>
      </c>
      <c r="H143" s="7">
        <v>19380</v>
      </c>
      <c r="I143" s="4">
        <v>13500</v>
      </c>
      <c r="J143" s="7">
        <v>5880</v>
      </c>
      <c r="K143" s="4" t="s">
        <v>39</v>
      </c>
      <c r="L143" s="4" t="s">
        <v>35</v>
      </c>
      <c r="M143" s="4" t="s">
        <v>39</v>
      </c>
      <c r="N143" s="7">
        <v>19380</v>
      </c>
      <c r="O143" s="4" t="s">
        <v>521</v>
      </c>
      <c r="P143" s="4" t="s">
        <v>520</v>
      </c>
      <c r="Q143" s="4" t="s">
        <v>429</v>
      </c>
      <c r="R143" s="4" t="s">
        <v>395</v>
      </c>
      <c r="S143" s="4" t="s">
        <v>466</v>
      </c>
      <c r="T143" s="4" t="s">
        <v>456</v>
      </c>
      <c r="U143" s="4">
        <v>4500</v>
      </c>
      <c r="V143" s="4">
        <v>6800</v>
      </c>
      <c r="W143" s="7">
        <v>19380</v>
      </c>
      <c r="X143" s="58">
        <v>0.30340557275541802</v>
      </c>
    </row>
    <row r="144" spans="1:24" x14ac:dyDescent="0.25">
      <c r="A144" s="17" t="s">
        <v>338</v>
      </c>
      <c r="B144" s="6">
        <v>45795</v>
      </c>
      <c r="C144" s="4" t="s">
        <v>364</v>
      </c>
      <c r="D144" s="4" t="s">
        <v>107</v>
      </c>
      <c r="E144" s="4" t="s">
        <v>116</v>
      </c>
      <c r="F144" s="7">
        <v>12</v>
      </c>
      <c r="G144" s="7">
        <v>0.08</v>
      </c>
      <c r="H144" s="7">
        <v>132480</v>
      </c>
      <c r="I144" s="4">
        <v>102000</v>
      </c>
      <c r="J144" s="7">
        <v>30480</v>
      </c>
      <c r="K144" s="4" t="s">
        <v>34</v>
      </c>
      <c r="L144" s="4" t="s">
        <v>35</v>
      </c>
      <c r="M144" s="4" t="s">
        <v>34</v>
      </c>
      <c r="N144" s="7">
        <v>132480</v>
      </c>
      <c r="O144" s="4" t="s">
        <v>522</v>
      </c>
      <c r="P144" s="4" t="s">
        <v>520</v>
      </c>
      <c r="Q144" s="4" t="s">
        <v>415</v>
      </c>
      <c r="R144" s="4" t="s">
        <v>399</v>
      </c>
      <c r="S144" s="4" t="s">
        <v>458</v>
      </c>
      <c r="T144" s="4" t="s">
        <v>456</v>
      </c>
      <c r="U144" s="4">
        <v>8500</v>
      </c>
      <c r="V144" s="4">
        <v>12000</v>
      </c>
      <c r="W144" s="7">
        <v>132480</v>
      </c>
      <c r="X144" s="58">
        <v>0.23007246376811591</v>
      </c>
    </row>
    <row r="145" spans="1:24" x14ac:dyDescent="0.25">
      <c r="A145" s="17" t="s">
        <v>341</v>
      </c>
      <c r="B145" s="6">
        <v>45799</v>
      </c>
      <c r="C145" s="4" t="s">
        <v>342</v>
      </c>
      <c r="D145" s="4" t="s">
        <v>202</v>
      </c>
      <c r="E145" s="4" t="s">
        <v>95</v>
      </c>
      <c r="F145" s="7">
        <v>11</v>
      </c>
      <c r="G145" s="7">
        <v>0</v>
      </c>
      <c r="H145" s="7">
        <v>572000</v>
      </c>
      <c r="I145" s="4">
        <v>462000</v>
      </c>
      <c r="J145" s="7">
        <v>110000</v>
      </c>
      <c r="K145" s="4" t="s">
        <v>102</v>
      </c>
      <c r="L145" s="4" t="s">
        <v>122</v>
      </c>
      <c r="M145" s="4" t="s">
        <v>102</v>
      </c>
      <c r="N145" s="7">
        <v>572000</v>
      </c>
      <c r="O145" s="4" t="s">
        <v>594</v>
      </c>
      <c r="P145" s="4" t="s">
        <v>590</v>
      </c>
      <c r="Q145" s="4" t="s">
        <v>420</v>
      </c>
      <c r="R145" s="4" t="s">
        <v>395</v>
      </c>
      <c r="S145" s="4" t="s">
        <v>455</v>
      </c>
      <c r="T145" s="4" t="s">
        <v>456</v>
      </c>
      <c r="U145" s="4">
        <v>42000</v>
      </c>
      <c r="V145" s="4">
        <v>52000</v>
      </c>
      <c r="W145" s="7">
        <v>572000</v>
      </c>
      <c r="X145" s="58">
        <v>0.19230769230769229</v>
      </c>
    </row>
    <row r="146" spans="1:24" x14ac:dyDescent="0.25">
      <c r="A146" s="17" t="s">
        <v>343</v>
      </c>
      <c r="B146" s="6">
        <v>45709</v>
      </c>
      <c r="C146" s="4" t="s">
        <v>173</v>
      </c>
      <c r="D146" s="4" t="s">
        <v>241</v>
      </c>
      <c r="E146" s="4" t="s">
        <v>49</v>
      </c>
      <c r="F146" s="7">
        <v>7</v>
      </c>
      <c r="G146" s="7">
        <v>0.05</v>
      </c>
      <c r="H146" s="7">
        <v>31920</v>
      </c>
      <c r="I146" s="4">
        <v>22400</v>
      </c>
      <c r="J146" s="7">
        <v>9520</v>
      </c>
      <c r="K146" s="4" t="s">
        <v>63</v>
      </c>
      <c r="L146" s="4" t="s">
        <v>35</v>
      </c>
      <c r="M146" s="4" t="s">
        <v>63</v>
      </c>
      <c r="N146" s="7">
        <v>31920</v>
      </c>
      <c r="O146" s="4" t="s">
        <v>578</v>
      </c>
      <c r="P146" s="4" t="s">
        <v>579</v>
      </c>
      <c r="Q146" s="4" t="s">
        <v>432</v>
      </c>
      <c r="R146" s="4" t="s">
        <v>399</v>
      </c>
      <c r="S146" s="4" t="s">
        <v>472</v>
      </c>
      <c r="T146" s="4" t="s">
        <v>456</v>
      </c>
      <c r="U146" s="4">
        <v>3200</v>
      </c>
      <c r="V146" s="4">
        <v>4800</v>
      </c>
      <c r="W146" s="7">
        <v>31920</v>
      </c>
      <c r="X146" s="58">
        <v>0.2982456140350877</v>
      </c>
    </row>
    <row r="147" spans="1:24" x14ac:dyDescent="0.25">
      <c r="A147" s="17" t="s">
        <v>344</v>
      </c>
      <c r="B147" s="6">
        <v>45816</v>
      </c>
      <c r="C147" s="4" t="s">
        <v>345</v>
      </c>
      <c r="D147" s="4" t="s">
        <v>52</v>
      </c>
      <c r="E147" s="4" t="s">
        <v>116</v>
      </c>
      <c r="F147" s="7">
        <v>8</v>
      </c>
      <c r="G147" s="7">
        <v>0.12</v>
      </c>
      <c r="H147" s="7">
        <v>84480</v>
      </c>
      <c r="I147" s="4">
        <v>68000</v>
      </c>
      <c r="J147" s="7">
        <v>16480</v>
      </c>
      <c r="K147" s="4" t="s">
        <v>39</v>
      </c>
      <c r="L147" s="4" t="s">
        <v>35</v>
      </c>
      <c r="M147" s="4" t="s">
        <v>39</v>
      </c>
      <c r="N147" s="7">
        <v>84480</v>
      </c>
      <c r="O147" s="4" t="s">
        <v>543</v>
      </c>
      <c r="P147" s="4" t="s">
        <v>535</v>
      </c>
      <c r="Q147" s="4" t="s">
        <v>429</v>
      </c>
      <c r="R147" s="4" t="s">
        <v>395</v>
      </c>
      <c r="S147" s="4" t="s">
        <v>458</v>
      </c>
      <c r="T147" s="4" t="s">
        <v>456</v>
      </c>
      <c r="U147" s="4">
        <v>8500</v>
      </c>
      <c r="V147" s="4">
        <v>12000</v>
      </c>
      <c r="W147" s="7">
        <v>84480</v>
      </c>
      <c r="X147" s="58">
        <v>0.1950757575757576</v>
      </c>
    </row>
    <row r="148" spans="1:24" x14ac:dyDescent="0.25">
      <c r="A148" s="17" t="s">
        <v>346</v>
      </c>
      <c r="B148" s="6">
        <v>45659</v>
      </c>
      <c r="C148" s="4" t="s">
        <v>147</v>
      </c>
      <c r="D148" s="4" t="s">
        <v>192</v>
      </c>
      <c r="E148" s="4" t="s">
        <v>145</v>
      </c>
      <c r="F148" s="7">
        <v>16</v>
      </c>
      <c r="G148" s="7">
        <v>0.08</v>
      </c>
      <c r="H148" s="7">
        <v>36800</v>
      </c>
      <c r="I148" s="4">
        <v>25600</v>
      </c>
      <c r="J148" s="7">
        <v>11200</v>
      </c>
      <c r="K148" s="4" t="s">
        <v>137</v>
      </c>
      <c r="L148" s="4" t="s">
        <v>45</v>
      </c>
      <c r="M148" s="4" t="s">
        <v>34</v>
      </c>
      <c r="N148" s="7">
        <v>36800</v>
      </c>
      <c r="O148" s="4" t="s">
        <v>493</v>
      </c>
      <c r="P148" s="4" t="s">
        <v>485</v>
      </c>
      <c r="Q148" s="4" t="s">
        <v>393</v>
      </c>
      <c r="R148" s="4" t="s">
        <v>395</v>
      </c>
      <c r="S148" s="4" t="s">
        <v>469</v>
      </c>
      <c r="T148" s="4" t="s">
        <v>460</v>
      </c>
      <c r="U148" s="4">
        <v>1600</v>
      </c>
      <c r="V148" s="4">
        <v>2500</v>
      </c>
      <c r="W148" s="7">
        <v>36800</v>
      </c>
      <c r="X148" s="58">
        <v>0.30434782608695649</v>
      </c>
    </row>
    <row r="149" spans="1:24" x14ac:dyDescent="0.25">
      <c r="A149" s="17" t="s">
        <v>347</v>
      </c>
      <c r="B149" s="6">
        <v>45805</v>
      </c>
      <c r="C149" s="4" t="s">
        <v>76</v>
      </c>
      <c r="D149" s="4" t="s">
        <v>70</v>
      </c>
      <c r="E149" s="4" t="s">
        <v>57</v>
      </c>
      <c r="F149" s="7">
        <v>11</v>
      </c>
      <c r="G149" s="7">
        <v>0.05</v>
      </c>
      <c r="H149" s="7">
        <v>54340</v>
      </c>
      <c r="I149" s="4">
        <v>38500</v>
      </c>
      <c r="J149" s="7">
        <v>15840</v>
      </c>
      <c r="K149" s="4" t="s">
        <v>39</v>
      </c>
      <c r="L149" s="4" t="s">
        <v>122</v>
      </c>
      <c r="M149" s="4" t="s">
        <v>39</v>
      </c>
      <c r="N149" s="7">
        <v>54340</v>
      </c>
      <c r="O149" s="4" t="s">
        <v>497</v>
      </c>
      <c r="P149" s="4" t="s">
        <v>485</v>
      </c>
      <c r="Q149" s="4" t="s">
        <v>411</v>
      </c>
      <c r="R149" s="4" t="s">
        <v>402</v>
      </c>
      <c r="S149" s="4" t="s">
        <v>477</v>
      </c>
      <c r="T149" s="4" t="s">
        <v>478</v>
      </c>
      <c r="U149" s="4">
        <v>3500</v>
      </c>
      <c r="V149" s="4">
        <v>5200</v>
      </c>
      <c r="W149" s="7">
        <v>54340</v>
      </c>
      <c r="X149" s="58">
        <v>0.291497975708502</v>
      </c>
    </row>
    <row r="150" spans="1:24" x14ac:dyDescent="0.25">
      <c r="A150" s="17" t="s">
        <v>348</v>
      </c>
      <c r="B150" s="6">
        <v>45805</v>
      </c>
      <c r="C150" s="4" t="s">
        <v>211</v>
      </c>
      <c r="D150" s="4" t="s">
        <v>182</v>
      </c>
      <c r="E150" s="4" t="s">
        <v>62</v>
      </c>
      <c r="F150" s="7">
        <v>8</v>
      </c>
      <c r="G150" s="7">
        <v>0.12</v>
      </c>
      <c r="H150" s="7">
        <v>73920</v>
      </c>
      <c r="I150" s="4">
        <v>60000</v>
      </c>
      <c r="J150" s="7">
        <v>13920</v>
      </c>
      <c r="K150" s="4" t="s">
        <v>102</v>
      </c>
      <c r="L150" s="4" t="s">
        <v>122</v>
      </c>
      <c r="M150" s="4" t="s">
        <v>102</v>
      </c>
      <c r="N150" s="7">
        <v>73920</v>
      </c>
      <c r="O150" s="4" t="s">
        <v>514</v>
      </c>
      <c r="P150" s="4" t="s">
        <v>485</v>
      </c>
      <c r="Q150" s="4" t="s">
        <v>404</v>
      </c>
      <c r="R150" s="4" t="s">
        <v>395</v>
      </c>
      <c r="S150" s="4" t="s">
        <v>464</v>
      </c>
      <c r="T150" s="4" t="s">
        <v>463</v>
      </c>
      <c r="U150" s="4">
        <v>7500</v>
      </c>
      <c r="V150" s="4">
        <v>10500</v>
      </c>
      <c r="W150" s="7">
        <v>73920</v>
      </c>
      <c r="X150" s="58">
        <v>0.18831168831168829</v>
      </c>
    </row>
    <row r="151" spans="1:24" x14ac:dyDescent="0.25">
      <c r="A151" s="17" t="s">
        <v>349</v>
      </c>
      <c r="B151" s="6">
        <v>45833</v>
      </c>
      <c r="C151" s="4" t="s">
        <v>76</v>
      </c>
      <c r="D151" s="4" t="s">
        <v>133</v>
      </c>
      <c r="E151" s="4" t="s">
        <v>57</v>
      </c>
      <c r="F151" s="7">
        <v>12</v>
      </c>
      <c r="G151" s="7">
        <v>0.05</v>
      </c>
      <c r="H151" s="7">
        <v>59280</v>
      </c>
      <c r="I151" s="4">
        <v>42000</v>
      </c>
      <c r="J151" s="7">
        <v>17280</v>
      </c>
      <c r="K151" s="4" t="s">
        <v>39</v>
      </c>
      <c r="L151" s="4" t="s">
        <v>122</v>
      </c>
      <c r="M151" s="4" t="s">
        <v>39</v>
      </c>
      <c r="N151" s="7">
        <v>59280</v>
      </c>
      <c r="O151" s="4" t="s">
        <v>497</v>
      </c>
      <c r="P151" s="4" t="s">
        <v>485</v>
      </c>
      <c r="Q151" s="4" t="s">
        <v>412</v>
      </c>
      <c r="R151" s="4" t="s">
        <v>402</v>
      </c>
      <c r="S151" s="4" t="s">
        <v>477</v>
      </c>
      <c r="T151" s="4" t="s">
        <v>478</v>
      </c>
      <c r="U151" s="4">
        <v>3500</v>
      </c>
      <c r="V151" s="4">
        <v>5200</v>
      </c>
      <c r="W151" s="7">
        <v>59280</v>
      </c>
      <c r="X151" s="58">
        <v>0.291497975708502</v>
      </c>
    </row>
    <row r="152" spans="1:24" x14ac:dyDescent="0.25">
      <c r="A152" s="17" t="s">
        <v>350</v>
      </c>
      <c r="B152" s="6">
        <v>45830</v>
      </c>
      <c r="C152" s="4" t="s">
        <v>243</v>
      </c>
      <c r="D152" s="4" t="s">
        <v>227</v>
      </c>
      <c r="E152" s="4" t="s">
        <v>78</v>
      </c>
      <c r="F152" s="7">
        <v>1</v>
      </c>
      <c r="G152" s="7">
        <v>0</v>
      </c>
      <c r="H152" s="7">
        <v>9000</v>
      </c>
      <c r="I152" s="4">
        <v>6500</v>
      </c>
      <c r="J152" s="7">
        <v>2500</v>
      </c>
      <c r="K152" s="4" t="s">
        <v>44</v>
      </c>
      <c r="L152" s="4" t="s">
        <v>122</v>
      </c>
      <c r="M152" s="4" t="s">
        <v>44</v>
      </c>
      <c r="N152" s="7">
        <v>9000</v>
      </c>
      <c r="O152" s="4" t="s">
        <v>508</v>
      </c>
      <c r="P152" s="4" t="s">
        <v>485</v>
      </c>
      <c r="Q152" s="4" t="s">
        <v>401</v>
      </c>
      <c r="R152" s="4" t="s">
        <v>402</v>
      </c>
      <c r="S152" s="4" t="s">
        <v>465</v>
      </c>
      <c r="T152" s="4" t="s">
        <v>463</v>
      </c>
      <c r="U152" s="4">
        <v>6500</v>
      </c>
      <c r="V152" s="4">
        <v>9000</v>
      </c>
      <c r="W152" s="7">
        <v>9000</v>
      </c>
      <c r="X152" s="58">
        <v>0.27777777777777779</v>
      </c>
    </row>
    <row r="153" spans="1:24" x14ac:dyDescent="0.25">
      <c r="A153" s="17" t="s">
        <v>351</v>
      </c>
      <c r="B153" s="6">
        <v>45725</v>
      </c>
      <c r="C153" s="4" t="s">
        <v>55</v>
      </c>
      <c r="D153" s="4" t="s">
        <v>305</v>
      </c>
      <c r="E153" s="4" t="s">
        <v>57</v>
      </c>
      <c r="F153" s="7">
        <v>6</v>
      </c>
      <c r="G153" s="7">
        <v>0.08</v>
      </c>
      <c r="H153" s="7">
        <v>28704</v>
      </c>
      <c r="I153" s="4">
        <v>21000</v>
      </c>
      <c r="J153" s="7">
        <v>7704</v>
      </c>
      <c r="K153" s="4" t="s">
        <v>34</v>
      </c>
      <c r="L153" s="4" t="s">
        <v>35</v>
      </c>
      <c r="M153" s="4" t="s">
        <v>34</v>
      </c>
      <c r="N153" s="7">
        <v>28704</v>
      </c>
      <c r="O153" s="4" t="s">
        <v>584</v>
      </c>
      <c r="P153" s="4" t="s">
        <v>579</v>
      </c>
      <c r="Q153" s="4" t="s">
        <v>413</v>
      </c>
      <c r="R153" s="4" t="s">
        <v>399</v>
      </c>
      <c r="S153" s="4" t="s">
        <v>477</v>
      </c>
      <c r="T153" s="4" t="s">
        <v>478</v>
      </c>
      <c r="U153" s="4">
        <v>3500</v>
      </c>
      <c r="V153" s="4">
        <v>5200</v>
      </c>
      <c r="W153" s="7">
        <v>28704</v>
      </c>
      <c r="X153" s="58">
        <v>0.26839464882943143</v>
      </c>
    </row>
    <row r="154" spans="1:24" x14ac:dyDescent="0.25">
      <c r="A154" s="17" t="s">
        <v>352</v>
      </c>
      <c r="B154" s="6">
        <v>45765</v>
      </c>
      <c r="C154" s="4" t="s">
        <v>299</v>
      </c>
      <c r="D154" s="4" t="s">
        <v>185</v>
      </c>
      <c r="E154" s="4" t="s">
        <v>121</v>
      </c>
      <c r="F154" s="7">
        <v>14</v>
      </c>
      <c r="G154" s="7">
        <v>0</v>
      </c>
      <c r="H154" s="7">
        <v>50400</v>
      </c>
      <c r="I154" s="4">
        <v>33600</v>
      </c>
      <c r="J154" s="7">
        <v>16800</v>
      </c>
      <c r="K154" s="4" t="s">
        <v>102</v>
      </c>
      <c r="L154" s="4" t="s">
        <v>35</v>
      </c>
      <c r="M154" s="4" t="s">
        <v>102</v>
      </c>
      <c r="N154" s="7">
        <v>50400</v>
      </c>
      <c r="O154" s="4" t="s">
        <v>505</v>
      </c>
      <c r="P154" s="4" t="s">
        <v>485</v>
      </c>
      <c r="Q154" s="4" t="s">
        <v>448</v>
      </c>
      <c r="R154" s="4" t="s">
        <v>402</v>
      </c>
      <c r="S154" s="4" t="s">
        <v>476</v>
      </c>
      <c r="T154" s="4" t="s">
        <v>456</v>
      </c>
      <c r="U154" s="4">
        <v>2400</v>
      </c>
      <c r="V154" s="4">
        <v>3600</v>
      </c>
      <c r="W154" s="7">
        <v>50400</v>
      </c>
      <c r="X154" s="58">
        <v>0.33333333333333331</v>
      </c>
    </row>
    <row r="155" spans="1:24" x14ac:dyDescent="0.25">
      <c r="A155" s="17" t="s">
        <v>353</v>
      </c>
      <c r="B155" s="6">
        <v>45833</v>
      </c>
      <c r="C155" s="4" t="s">
        <v>154</v>
      </c>
      <c r="D155" s="4" t="s">
        <v>185</v>
      </c>
      <c r="E155" s="4" t="s">
        <v>53</v>
      </c>
      <c r="F155" s="7">
        <v>5</v>
      </c>
      <c r="G155" s="7">
        <v>0.08</v>
      </c>
      <c r="H155" s="7">
        <v>19320</v>
      </c>
      <c r="I155" s="4">
        <v>14000</v>
      </c>
      <c r="J155" s="7">
        <v>5320</v>
      </c>
      <c r="K155" s="4" t="s">
        <v>102</v>
      </c>
      <c r="L155" s="4" t="s">
        <v>35</v>
      </c>
      <c r="M155" s="4" t="s">
        <v>102</v>
      </c>
      <c r="N155" s="7">
        <v>19320</v>
      </c>
      <c r="O155" s="4" t="s">
        <v>546</v>
      </c>
      <c r="P155" s="4" t="s">
        <v>547</v>
      </c>
      <c r="Q155" s="4" t="s">
        <v>448</v>
      </c>
      <c r="R155" s="4" t="s">
        <v>402</v>
      </c>
      <c r="S155" s="4" t="s">
        <v>473</v>
      </c>
      <c r="T155" s="4" t="s">
        <v>456</v>
      </c>
      <c r="U155" s="4">
        <v>2800</v>
      </c>
      <c r="V155" s="4">
        <v>4200</v>
      </c>
      <c r="W155" s="7">
        <v>19320</v>
      </c>
      <c r="X155" s="58">
        <v>0.27536231884057971</v>
      </c>
    </row>
    <row r="156" spans="1:24" x14ac:dyDescent="0.25">
      <c r="A156" s="17" t="s">
        <v>354</v>
      </c>
      <c r="B156" s="6">
        <v>45695</v>
      </c>
      <c r="C156" s="4" t="s">
        <v>355</v>
      </c>
      <c r="D156" s="4" t="s">
        <v>136</v>
      </c>
      <c r="E156" s="4" t="s">
        <v>99</v>
      </c>
      <c r="F156" s="7">
        <v>13</v>
      </c>
      <c r="G156" s="7">
        <v>0</v>
      </c>
      <c r="H156" s="7">
        <v>494000</v>
      </c>
      <c r="I156" s="4">
        <v>390000</v>
      </c>
      <c r="J156" s="7">
        <v>104000</v>
      </c>
      <c r="K156" s="4" t="s">
        <v>34</v>
      </c>
      <c r="L156" s="4" t="s">
        <v>35</v>
      </c>
      <c r="M156" s="4" t="s">
        <v>34</v>
      </c>
      <c r="N156" s="7">
        <v>494000</v>
      </c>
      <c r="O156" s="4" t="s">
        <v>507</v>
      </c>
      <c r="P156" s="4" t="s">
        <v>485</v>
      </c>
      <c r="Q156" s="4" t="s">
        <v>418</v>
      </c>
      <c r="R156" s="4" t="s">
        <v>402</v>
      </c>
      <c r="S156" s="4" t="s">
        <v>457</v>
      </c>
      <c r="T156" s="4" t="s">
        <v>456</v>
      </c>
      <c r="U156" s="4">
        <v>30000</v>
      </c>
      <c r="V156" s="4">
        <v>38000</v>
      </c>
      <c r="W156" s="7">
        <v>494000</v>
      </c>
      <c r="X156" s="58">
        <v>0.2105263157894737</v>
      </c>
    </row>
    <row r="157" spans="1:24" x14ac:dyDescent="0.25">
      <c r="A157" s="17" t="s">
        <v>356</v>
      </c>
      <c r="B157" s="6">
        <v>45819</v>
      </c>
      <c r="C157" s="4" t="s">
        <v>342</v>
      </c>
      <c r="D157" s="4" t="s">
        <v>56</v>
      </c>
      <c r="E157" s="4" t="s">
        <v>145</v>
      </c>
      <c r="F157" s="7">
        <v>16</v>
      </c>
      <c r="G157" s="7">
        <v>0</v>
      </c>
      <c r="H157" s="7">
        <v>40000</v>
      </c>
      <c r="I157" s="4">
        <v>25600</v>
      </c>
      <c r="J157" s="7">
        <v>14400</v>
      </c>
      <c r="K157" s="4" t="s">
        <v>63</v>
      </c>
      <c r="L157" s="4" t="s">
        <v>35</v>
      </c>
      <c r="M157" s="4" t="s">
        <v>63</v>
      </c>
      <c r="N157" s="7">
        <v>40000</v>
      </c>
      <c r="O157" s="4" t="s">
        <v>594</v>
      </c>
      <c r="P157" s="4" t="s">
        <v>590</v>
      </c>
      <c r="Q157" s="4" t="s">
        <v>417</v>
      </c>
      <c r="R157" s="4" t="s">
        <v>399</v>
      </c>
      <c r="S157" s="4" t="s">
        <v>469</v>
      </c>
      <c r="T157" s="4" t="s">
        <v>460</v>
      </c>
      <c r="U157" s="4">
        <v>1600</v>
      </c>
      <c r="V157" s="4">
        <v>2500</v>
      </c>
      <c r="W157" s="7">
        <v>40000</v>
      </c>
      <c r="X157" s="58">
        <v>0.36</v>
      </c>
    </row>
    <row r="158" spans="1:24" x14ac:dyDescent="0.25">
      <c r="A158" s="17" t="s">
        <v>357</v>
      </c>
      <c r="B158" s="6">
        <v>45683</v>
      </c>
      <c r="C158" s="4" t="s">
        <v>109</v>
      </c>
      <c r="D158" s="4" t="s">
        <v>98</v>
      </c>
      <c r="E158" s="4" t="s">
        <v>145</v>
      </c>
      <c r="F158" s="7">
        <v>2</v>
      </c>
      <c r="G158" s="7">
        <v>0.05</v>
      </c>
      <c r="H158" s="7">
        <v>4750</v>
      </c>
      <c r="I158" s="4">
        <v>3200</v>
      </c>
      <c r="J158" s="7">
        <v>1550</v>
      </c>
      <c r="K158" s="4" t="s">
        <v>39</v>
      </c>
      <c r="L158" s="4" t="s">
        <v>45</v>
      </c>
      <c r="M158" s="4" t="s">
        <v>39</v>
      </c>
      <c r="N158" s="7">
        <v>4750</v>
      </c>
      <c r="O158" s="4" t="s">
        <v>583</v>
      </c>
      <c r="P158" s="4" t="s">
        <v>579</v>
      </c>
      <c r="Q158" s="4" t="s">
        <v>428</v>
      </c>
      <c r="R158" s="4" t="s">
        <v>399</v>
      </c>
      <c r="S158" s="4" t="s">
        <v>469</v>
      </c>
      <c r="T158" s="4" t="s">
        <v>460</v>
      </c>
      <c r="U158" s="4">
        <v>1600</v>
      </c>
      <c r="V158" s="4">
        <v>2500</v>
      </c>
      <c r="W158" s="7">
        <v>4750</v>
      </c>
      <c r="X158" s="58">
        <v>0.32631578947368423</v>
      </c>
    </row>
    <row r="159" spans="1:24" x14ac:dyDescent="0.25">
      <c r="A159" s="17" t="s">
        <v>358</v>
      </c>
      <c r="B159" s="6">
        <v>45743</v>
      </c>
      <c r="C159" s="4" t="s">
        <v>359</v>
      </c>
      <c r="D159" s="4" t="s">
        <v>174</v>
      </c>
      <c r="E159" s="4" t="s">
        <v>67</v>
      </c>
      <c r="F159" s="7">
        <v>4</v>
      </c>
      <c r="G159" s="7">
        <v>0.05</v>
      </c>
      <c r="H159" s="7">
        <v>25840</v>
      </c>
      <c r="I159" s="4">
        <v>18000</v>
      </c>
      <c r="J159" s="7">
        <v>7840</v>
      </c>
      <c r="K159" s="4" t="s">
        <v>102</v>
      </c>
      <c r="L159" s="4" t="s">
        <v>35</v>
      </c>
      <c r="M159" s="4" t="s">
        <v>102</v>
      </c>
      <c r="N159" s="7">
        <v>25840</v>
      </c>
      <c r="O159" s="4" t="s">
        <v>494</v>
      </c>
      <c r="P159" s="4" t="s">
        <v>485</v>
      </c>
      <c r="Q159" s="4" t="s">
        <v>449</v>
      </c>
      <c r="R159" s="4" t="s">
        <v>395</v>
      </c>
      <c r="S159" s="4" t="s">
        <v>466</v>
      </c>
      <c r="T159" s="4" t="s">
        <v>456</v>
      </c>
      <c r="U159" s="4">
        <v>4500</v>
      </c>
      <c r="V159" s="4">
        <v>6800</v>
      </c>
      <c r="W159" s="7">
        <v>25840</v>
      </c>
      <c r="X159" s="58">
        <v>0.30340557275541802</v>
      </c>
    </row>
    <row r="160" spans="1:24" x14ac:dyDescent="0.25">
      <c r="A160" s="17" t="s">
        <v>360</v>
      </c>
      <c r="B160" s="6">
        <v>45747</v>
      </c>
      <c r="C160" s="4" t="s">
        <v>207</v>
      </c>
      <c r="D160" s="4" t="s">
        <v>42</v>
      </c>
      <c r="E160" s="4" t="s">
        <v>91</v>
      </c>
      <c r="F160" s="7">
        <v>14</v>
      </c>
      <c r="G160" s="7">
        <v>0</v>
      </c>
      <c r="H160" s="7">
        <v>47600</v>
      </c>
      <c r="I160" s="4">
        <v>30800</v>
      </c>
      <c r="J160" s="7">
        <v>16800</v>
      </c>
      <c r="K160" s="4" t="s">
        <v>44</v>
      </c>
      <c r="L160" s="4" t="s">
        <v>122</v>
      </c>
      <c r="M160" s="4" t="s">
        <v>44</v>
      </c>
      <c r="N160" s="7">
        <v>47600</v>
      </c>
      <c r="O160" s="4" t="s">
        <v>526</v>
      </c>
      <c r="P160" s="4" t="s">
        <v>520</v>
      </c>
      <c r="Q160" s="4" t="s">
        <v>440</v>
      </c>
      <c r="R160" s="4" t="s">
        <v>395</v>
      </c>
      <c r="S160" s="4" t="s">
        <v>467</v>
      </c>
      <c r="T160" s="4" t="s">
        <v>456</v>
      </c>
      <c r="U160" s="4">
        <v>2200</v>
      </c>
      <c r="V160" s="4">
        <v>3400</v>
      </c>
      <c r="W160" s="7">
        <v>47600</v>
      </c>
      <c r="X160" s="58">
        <v>0.35294117647058831</v>
      </c>
    </row>
    <row r="161" spans="1:24" x14ac:dyDescent="0.25">
      <c r="A161" s="17" t="s">
        <v>361</v>
      </c>
      <c r="B161" s="6">
        <v>45730</v>
      </c>
      <c r="C161" s="4" t="s">
        <v>239</v>
      </c>
      <c r="D161" s="4" t="s">
        <v>98</v>
      </c>
      <c r="E161" s="4" t="s">
        <v>121</v>
      </c>
      <c r="F161" s="7">
        <v>18</v>
      </c>
      <c r="G161" s="7">
        <v>0</v>
      </c>
      <c r="H161" s="7">
        <v>64800</v>
      </c>
      <c r="I161" s="4">
        <v>43200</v>
      </c>
      <c r="J161" s="7">
        <v>21600</v>
      </c>
      <c r="K161" s="4" t="s">
        <v>39</v>
      </c>
      <c r="L161" s="4" t="s">
        <v>45</v>
      </c>
      <c r="M161" s="4" t="s">
        <v>39</v>
      </c>
      <c r="N161" s="7">
        <v>64800</v>
      </c>
      <c r="O161" s="4" t="s">
        <v>568</v>
      </c>
      <c r="P161" s="4" t="s">
        <v>478</v>
      </c>
      <c r="Q161" s="4" t="s">
        <v>428</v>
      </c>
      <c r="R161" s="4" t="s">
        <v>399</v>
      </c>
      <c r="S161" s="4" t="s">
        <v>476</v>
      </c>
      <c r="T161" s="4" t="s">
        <v>456</v>
      </c>
      <c r="U161" s="4">
        <v>2400</v>
      </c>
      <c r="V161" s="4">
        <v>3600</v>
      </c>
      <c r="W161" s="7">
        <v>64800</v>
      </c>
      <c r="X161" s="58">
        <v>0.33333333333333331</v>
      </c>
    </row>
    <row r="162" spans="1:24" x14ac:dyDescent="0.25">
      <c r="A162" s="17" t="s">
        <v>362</v>
      </c>
      <c r="B162" s="6">
        <v>45731</v>
      </c>
      <c r="C162" s="4" t="s">
        <v>345</v>
      </c>
      <c r="D162" s="4" t="s">
        <v>171</v>
      </c>
      <c r="E162" s="4" t="s">
        <v>78</v>
      </c>
      <c r="F162" s="7">
        <v>13</v>
      </c>
      <c r="G162" s="7">
        <v>0.08</v>
      </c>
      <c r="H162" s="7">
        <v>107640</v>
      </c>
      <c r="I162" s="4">
        <v>84500</v>
      </c>
      <c r="J162" s="7">
        <v>23140</v>
      </c>
      <c r="K162" s="4" t="s">
        <v>34</v>
      </c>
      <c r="L162" s="4" t="s">
        <v>35</v>
      </c>
      <c r="M162" s="4" t="s">
        <v>34</v>
      </c>
      <c r="N162" s="7">
        <v>107640</v>
      </c>
      <c r="O162" s="4" t="s">
        <v>543</v>
      </c>
      <c r="P162" s="4" t="s">
        <v>535</v>
      </c>
      <c r="Q162" s="4" t="s">
        <v>446</v>
      </c>
      <c r="R162" s="4" t="s">
        <v>395</v>
      </c>
      <c r="S162" s="4" t="s">
        <v>465</v>
      </c>
      <c r="T162" s="4" t="s">
        <v>463</v>
      </c>
      <c r="U162" s="4">
        <v>6500</v>
      </c>
      <c r="V162" s="4">
        <v>9000</v>
      </c>
      <c r="W162" s="7">
        <v>107640</v>
      </c>
      <c r="X162" s="58">
        <v>0.214975845410628</v>
      </c>
    </row>
    <row r="163" spans="1:24" x14ac:dyDescent="0.25">
      <c r="A163" s="17" t="s">
        <v>363</v>
      </c>
      <c r="B163" s="6">
        <v>45676</v>
      </c>
      <c r="C163" s="4" t="s">
        <v>364</v>
      </c>
      <c r="D163" s="4" t="s">
        <v>142</v>
      </c>
      <c r="E163" s="4" t="s">
        <v>85</v>
      </c>
      <c r="F163" s="7">
        <v>13</v>
      </c>
      <c r="G163" s="7">
        <v>0.12</v>
      </c>
      <c r="H163" s="7">
        <v>74360</v>
      </c>
      <c r="I163" s="4">
        <v>54600</v>
      </c>
      <c r="J163" s="7">
        <v>19760</v>
      </c>
      <c r="K163" s="4" t="s">
        <v>102</v>
      </c>
      <c r="L163" s="4" t="s">
        <v>35</v>
      </c>
      <c r="M163" s="4" t="s">
        <v>102</v>
      </c>
      <c r="N163" s="7">
        <v>74360</v>
      </c>
      <c r="O163" s="4" t="s">
        <v>522</v>
      </c>
      <c r="P163" s="4" t="s">
        <v>520</v>
      </c>
      <c r="Q163" s="4" t="s">
        <v>441</v>
      </c>
      <c r="R163" s="4" t="s">
        <v>399</v>
      </c>
      <c r="S163" s="4" t="s">
        <v>474</v>
      </c>
      <c r="T163" s="4" t="s">
        <v>463</v>
      </c>
      <c r="U163" s="4">
        <v>4200</v>
      </c>
      <c r="V163" s="4">
        <v>6500</v>
      </c>
      <c r="W163" s="7">
        <v>74360</v>
      </c>
      <c r="X163" s="58">
        <v>0.26573426573426567</v>
      </c>
    </row>
    <row r="164" spans="1:24" x14ac:dyDescent="0.25">
      <c r="A164" s="17" t="s">
        <v>365</v>
      </c>
      <c r="B164" s="6">
        <v>45771</v>
      </c>
      <c r="C164" s="4" t="s">
        <v>111</v>
      </c>
      <c r="D164" s="4" t="s">
        <v>48</v>
      </c>
      <c r="E164" s="4" t="s">
        <v>162</v>
      </c>
      <c r="F164" s="7">
        <v>13</v>
      </c>
      <c r="G164" s="7">
        <v>0.03</v>
      </c>
      <c r="H164" s="7">
        <v>201760</v>
      </c>
      <c r="I164" s="4">
        <v>149500</v>
      </c>
      <c r="J164" s="7">
        <v>52260</v>
      </c>
      <c r="K164" s="4" t="s">
        <v>39</v>
      </c>
      <c r="L164" s="4" t="s">
        <v>122</v>
      </c>
      <c r="M164" s="4" t="s">
        <v>39</v>
      </c>
      <c r="N164" s="7">
        <v>201760</v>
      </c>
      <c r="O164" s="4" t="s">
        <v>509</v>
      </c>
      <c r="P164" s="4" t="s">
        <v>485</v>
      </c>
      <c r="Q164" s="4" t="s">
        <v>424</v>
      </c>
      <c r="R164" s="4" t="s">
        <v>402</v>
      </c>
      <c r="S164" s="4" t="s">
        <v>471</v>
      </c>
      <c r="T164" s="4" t="s">
        <v>463</v>
      </c>
      <c r="U164" s="4">
        <v>11500</v>
      </c>
      <c r="V164" s="4">
        <v>16000</v>
      </c>
      <c r="W164" s="7">
        <v>201760</v>
      </c>
      <c r="X164" s="58">
        <v>0.25902061855670111</v>
      </c>
    </row>
    <row r="165" spans="1:24" x14ac:dyDescent="0.25">
      <c r="A165" s="17" t="s">
        <v>366</v>
      </c>
      <c r="B165" s="6">
        <v>45705</v>
      </c>
      <c r="C165" s="4" t="s">
        <v>367</v>
      </c>
      <c r="D165" s="4" t="s">
        <v>115</v>
      </c>
      <c r="E165" s="4" t="s">
        <v>53</v>
      </c>
      <c r="F165" s="7">
        <v>14</v>
      </c>
      <c r="G165" s="7">
        <v>0</v>
      </c>
      <c r="H165" s="7">
        <v>58800</v>
      </c>
      <c r="I165" s="4">
        <v>39200</v>
      </c>
      <c r="J165" s="7">
        <v>19600</v>
      </c>
      <c r="K165" s="4" t="s">
        <v>44</v>
      </c>
      <c r="L165" s="4" t="s">
        <v>35</v>
      </c>
      <c r="M165" s="4" t="s">
        <v>44</v>
      </c>
      <c r="N165" s="7">
        <v>58800</v>
      </c>
      <c r="O165" s="4" t="s">
        <v>536</v>
      </c>
      <c r="P165" s="4" t="s">
        <v>535</v>
      </c>
      <c r="Q165" s="4" t="s">
        <v>443</v>
      </c>
      <c r="R165" s="4" t="s">
        <v>395</v>
      </c>
      <c r="S165" s="4" t="s">
        <v>473</v>
      </c>
      <c r="T165" s="4" t="s">
        <v>456</v>
      </c>
      <c r="U165" s="4">
        <v>2800</v>
      </c>
      <c r="V165" s="4">
        <v>4200</v>
      </c>
      <c r="W165" s="7">
        <v>58800</v>
      </c>
      <c r="X165" s="58">
        <v>0.33333333333333331</v>
      </c>
    </row>
    <row r="166" spans="1:24" x14ac:dyDescent="0.25">
      <c r="A166" s="17" t="s">
        <v>368</v>
      </c>
      <c r="B166" s="6">
        <v>45700</v>
      </c>
      <c r="C166" s="4" t="s">
        <v>322</v>
      </c>
      <c r="D166" s="4" t="s">
        <v>369</v>
      </c>
      <c r="E166" s="4" t="s">
        <v>152</v>
      </c>
      <c r="F166" s="7">
        <v>3</v>
      </c>
      <c r="G166" s="7">
        <v>0</v>
      </c>
      <c r="H166" s="7">
        <v>8400</v>
      </c>
      <c r="I166" s="4">
        <v>5400</v>
      </c>
      <c r="J166" s="7">
        <v>3000</v>
      </c>
      <c r="K166" s="4" t="s">
        <v>44</v>
      </c>
      <c r="L166" s="4" t="s">
        <v>45</v>
      </c>
      <c r="M166" s="4" t="s">
        <v>44</v>
      </c>
      <c r="N166" s="7">
        <v>8400</v>
      </c>
      <c r="O166" s="4" t="s">
        <v>576</v>
      </c>
      <c r="P166" s="4" t="s">
        <v>478</v>
      </c>
      <c r="Q166" s="4" t="s">
        <v>433</v>
      </c>
      <c r="R166" s="4" t="s">
        <v>395</v>
      </c>
      <c r="S166" s="4" t="s">
        <v>459</v>
      </c>
      <c r="T166" s="4" t="s">
        <v>460</v>
      </c>
      <c r="U166" s="4">
        <v>1800</v>
      </c>
      <c r="V166" s="4">
        <v>2800</v>
      </c>
      <c r="W166" s="7">
        <v>8400</v>
      </c>
      <c r="X166" s="58">
        <v>0.35714285714285721</v>
      </c>
    </row>
    <row r="167" spans="1:24" x14ac:dyDescent="0.25">
      <c r="A167" s="17" t="s">
        <v>370</v>
      </c>
      <c r="B167" s="6">
        <v>45759</v>
      </c>
      <c r="C167" s="4" t="s">
        <v>371</v>
      </c>
      <c r="D167" s="4" t="s">
        <v>151</v>
      </c>
      <c r="E167" s="4" t="s">
        <v>62</v>
      </c>
      <c r="F167" s="7">
        <v>1</v>
      </c>
      <c r="G167" s="7">
        <v>0.12</v>
      </c>
      <c r="H167" s="7">
        <v>9240</v>
      </c>
      <c r="I167" s="4">
        <v>7500</v>
      </c>
      <c r="J167" s="7">
        <v>1740</v>
      </c>
      <c r="K167" s="4" t="s">
        <v>63</v>
      </c>
      <c r="L167" s="4" t="s">
        <v>122</v>
      </c>
      <c r="M167" s="4" t="s">
        <v>63</v>
      </c>
      <c r="N167" s="7">
        <v>9240</v>
      </c>
      <c r="O167" s="4" t="s">
        <v>586</v>
      </c>
      <c r="P167" s="4" t="s">
        <v>579</v>
      </c>
      <c r="Q167" s="4" t="s">
        <v>408</v>
      </c>
      <c r="R167" s="4" t="s">
        <v>395</v>
      </c>
      <c r="S167" s="4" t="s">
        <v>464</v>
      </c>
      <c r="T167" s="4" t="s">
        <v>463</v>
      </c>
      <c r="U167" s="4">
        <v>7500</v>
      </c>
      <c r="V167" s="4">
        <v>10500</v>
      </c>
      <c r="W167" s="7">
        <v>9240</v>
      </c>
      <c r="X167" s="58">
        <v>0.18831168831168829</v>
      </c>
    </row>
    <row r="168" spans="1:24" x14ac:dyDescent="0.25">
      <c r="A168" s="17" t="s">
        <v>372</v>
      </c>
      <c r="B168" s="6">
        <v>45716</v>
      </c>
      <c r="C168" s="4" t="s">
        <v>211</v>
      </c>
      <c r="D168" s="4" t="s">
        <v>231</v>
      </c>
      <c r="E168" s="4" t="s">
        <v>62</v>
      </c>
      <c r="F168" s="7">
        <v>13</v>
      </c>
      <c r="G168" s="7">
        <v>0.03</v>
      </c>
      <c r="H168" s="7">
        <v>132405</v>
      </c>
      <c r="I168" s="4">
        <v>97500</v>
      </c>
      <c r="J168" s="7">
        <v>34905</v>
      </c>
      <c r="K168" s="4" t="s">
        <v>44</v>
      </c>
      <c r="L168" s="4" t="s">
        <v>35</v>
      </c>
      <c r="M168" s="4" t="s">
        <v>44</v>
      </c>
      <c r="N168" s="7">
        <v>132405</v>
      </c>
      <c r="O168" s="4" t="s">
        <v>514</v>
      </c>
      <c r="P168" s="4" t="s">
        <v>485</v>
      </c>
      <c r="Q168" s="4" t="s">
        <v>438</v>
      </c>
      <c r="R168" s="4" t="s">
        <v>395</v>
      </c>
      <c r="S168" s="4" t="s">
        <v>464</v>
      </c>
      <c r="T168" s="4" t="s">
        <v>463</v>
      </c>
      <c r="U168" s="4">
        <v>7500</v>
      </c>
      <c r="V168" s="4">
        <v>10500</v>
      </c>
      <c r="W168" s="7">
        <v>132405</v>
      </c>
      <c r="X168" s="58">
        <v>0.26362297496318121</v>
      </c>
    </row>
    <row r="169" spans="1:24" x14ac:dyDescent="0.25">
      <c r="A169" s="17" t="s">
        <v>373</v>
      </c>
      <c r="B169" s="6">
        <v>45666</v>
      </c>
      <c r="C169" s="4" t="s">
        <v>76</v>
      </c>
      <c r="D169" s="4" t="s">
        <v>314</v>
      </c>
      <c r="E169" s="4" t="s">
        <v>67</v>
      </c>
      <c r="F169" s="7">
        <v>6</v>
      </c>
      <c r="G169" s="7">
        <v>0</v>
      </c>
      <c r="H169" s="7">
        <v>40800</v>
      </c>
      <c r="I169" s="4">
        <v>27000</v>
      </c>
      <c r="J169" s="7">
        <v>13800</v>
      </c>
      <c r="K169" s="4" t="s">
        <v>102</v>
      </c>
      <c r="L169" s="4" t="s">
        <v>45</v>
      </c>
      <c r="M169" s="4" t="s">
        <v>102</v>
      </c>
      <c r="N169" s="7">
        <v>40800</v>
      </c>
      <c r="O169" s="4" t="s">
        <v>497</v>
      </c>
      <c r="P169" s="4" t="s">
        <v>485</v>
      </c>
      <c r="Q169" s="4" t="s">
        <v>445</v>
      </c>
      <c r="R169" s="4" t="s">
        <v>399</v>
      </c>
      <c r="S169" s="4" t="s">
        <v>466</v>
      </c>
      <c r="T169" s="4" t="s">
        <v>456</v>
      </c>
      <c r="U169" s="4">
        <v>4500</v>
      </c>
      <c r="V169" s="4">
        <v>6800</v>
      </c>
      <c r="W169" s="7">
        <v>40800</v>
      </c>
      <c r="X169" s="58">
        <v>0.33823529411764708</v>
      </c>
    </row>
    <row r="170" spans="1:24" x14ac:dyDescent="0.25">
      <c r="A170" s="17" t="s">
        <v>374</v>
      </c>
      <c r="B170" s="6">
        <v>45798</v>
      </c>
      <c r="C170" s="4" t="s">
        <v>73</v>
      </c>
      <c r="D170" s="4" t="s">
        <v>133</v>
      </c>
      <c r="E170" s="4" t="s">
        <v>116</v>
      </c>
      <c r="F170" s="7">
        <v>18</v>
      </c>
      <c r="G170" s="7">
        <v>0.03</v>
      </c>
      <c r="H170" s="7">
        <v>209520</v>
      </c>
      <c r="I170" s="4">
        <v>153000</v>
      </c>
      <c r="J170" s="7">
        <v>56520</v>
      </c>
      <c r="K170" s="4" t="s">
        <v>39</v>
      </c>
      <c r="L170" s="4" t="s">
        <v>35</v>
      </c>
      <c r="M170" s="4" t="s">
        <v>39</v>
      </c>
      <c r="N170" s="7">
        <v>209520</v>
      </c>
      <c r="O170" s="4" t="s">
        <v>518</v>
      </c>
      <c r="P170" s="4" t="s">
        <v>485</v>
      </c>
      <c r="Q170" s="4" t="s">
        <v>412</v>
      </c>
      <c r="R170" s="4" t="s">
        <v>402</v>
      </c>
      <c r="S170" s="4" t="s">
        <v>458</v>
      </c>
      <c r="T170" s="4" t="s">
        <v>456</v>
      </c>
      <c r="U170" s="4">
        <v>8500</v>
      </c>
      <c r="V170" s="4">
        <v>12000</v>
      </c>
      <c r="W170" s="7">
        <v>209520</v>
      </c>
      <c r="X170" s="58">
        <v>0.26975945017182129</v>
      </c>
    </row>
    <row r="171" spans="1:24" x14ac:dyDescent="0.25">
      <c r="A171" s="17" t="s">
        <v>375</v>
      </c>
      <c r="B171" s="6">
        <v>45820</v>
      </c>
      <c r="C171" s="4" t="s">
        <v>216</v>
      </c>
      <c r="D171" s="4" t="s">
        <v>202</v>
      </c>
      <c r="E171" s="4" t="s">
        <v>162</v>
      </c>
      <c r="F171" s="7">
        <v>15</v>
      </c>
      <c r="G171" s="7">
        <v>0.1</v>
      </c>
      <c r="H171" s="7">
        <v>216000</v>
      </c>
      <c r="I171" s="4">
        <v>172500</v>
      </c>
      <c r="J171" s="7">
        <v>43500</v>
      </c>
      <c r="K171" s="4" t="s">
        <v>102</v>
      </c>
      <c r="L171" s="4" t="s">
        <v>122</v>
      </c>
      <c r="M171" s="4" t="s">
        <v>102</v>
      </c>
      <c r="N171" s="7">
        <v>216000</v>
      </c>
      <c r="O171" s="4" t="s">
        <v>589</v>
      </c>
      <c r="P171" s="4" t="s">
        <v>590</v>
      </c>
      <c r="Q171" s="4" t="s">
        <v>420</v>
      </c>
      <c r="R171" s="4" t="s">
        <v>395</v>
      </c>
      <c r="S171" s="4" t="s">
        <v>471</v>
      </c>
      <c r="T171" s="4" t="s">
        <v>463</v>
      </c>
      <c r="U171" s="4">
        <v>11500</v>
      </c>
      <c r="V171" s="4">
        <v>16000</v>
      </c>
      <c r="W171" s="7">
        <v>216000</v>
      </c>
      <c r="X171" s="58">
        <v>0.2013888888888889</v>
      </c>
    </row>
    <row r="172" spans="1:24" x14ac:dyDescent="0.25">
      <c r="A172" s="17" t="s">
        <v>376</v>
      </c>
      <c r="B172" s="6">
        <v>45796</v>
      </c>
      <c r="C172" s="4" t="s">
        <v>170</v>
      </c>
      <c r="D172" s="4" t="s">
        <v>219</v>
      </c>
      <c r="E172" s="4" t="s">
        <v>57</v>
      </c>
      <c r="F172" s="7">
        <v>12</v>
      </c>
      <c r="G172" s="7">
        <v>0.05</v>
      </c>
      <c r="H172" s="7">
        <v>59280</v>
      </c>
      <c r="I172" s="4">
        <v>42000</v>
      </c>
      <c r="J172" s="7">
        <v>17280</v>
      </c>
      <c r="K172" s="4" t="s">
        <v>63</v>
      </c>
      <c r="L172" s="4" t="s">
        <v>45</v>
      </c>
      <c r="M172" s="4" t="s">
        <v>63</v>
      </c>
      <c r="N172" s="7">
        <v>59280</v>
      </c>
      <c r="O172" s="4" t="s">
        <v>558</v>
      </c>
      <c r="P172" s="4" t="s">
        <v>478</v>
      </c>
      <c r="Q172" s="4" t="s">
        <v>416</v>
      </c>
      <c r="R172" s="4" t="s">
        <v>399</v>
      </c>
      <c r="S172" s="4" t="s">
        <v>477</v>
      </c>
      <c r="T172" s="4" t="s">
        <v>478</v>
      </c>
      <c r="U172" s="4">
        <v>3500</v>
      </c>
      <c r="V172" s="4">
        <v>5200</v>
      </c>
      <c r="W172" s="7">
        <v>59280</v>
      </c>
      <c r="X172" s="58">
        <v>0.291497975708502</v>
      </c>
    </row>
    <row r="173" spans="1:24" x14ac:dyDescent="0.25">
      <c r="A173" s="17" t="s">
        <v>377</v>
      </c>
      <c r="B173" s="6">
        <v>45658</v>
      </c>
      <c r="C173" s="4" t="s">
        <v>135</v>
      </c>
      <c r="D173" s="4" t="s">
        <v>112</v>
      </c>
      <c r="E173" s="4" t="s">
        <v>67</v>
      </c>
      <c r="F173" s="7">
        <v>10</v>
      </c>
      <c r="G173" s="7">
        <v>0</v>
      </c>
      <c r="H173" s="7">
        <v>68000</v>
      </c>
      <c r="I173" s="4">
        <v>45000</v>
      </c>
      <c r="J173" s="7">
        <v>23000</v>
      </c>
      <c r="K173" s="4" t="s">
        <v>102</v>
      </c>
      <c r="L173" s="4" t="s">
        <v>35</v>
      </c>
      <c r="M173" s="4" t="s">
        <v>102</v>
      </c>
      <c r="N173" s="7">
        <v>68000</v>
      </c>
      <c r="O173" s="4" t="s">
        <v>557</v>
      </c>
      <c r="P173" s="4" t="s">
        <v>478</v>
      </c>
      <c r="Q173" s="4" t="s">
        <v>400</v>
      </c>
      <c r="R173" s="4" t="s">
        <v>399</v>
      </c>
      <c r="S173" s="4" t="s">
        <v>466</v>
      </c>
      <c r="T173" s="4" t="s">
        <v>456</v>
      </c>
      <c r="U173" s="4">
        <v>4500</v>
      </c>
      <c r="V173" s="4">
        <v>6800</v>
      </c>
      <c r="W173" s="7">
        <v>68000</v>
      </c>
      <c r="X173" s="58">
        <v>0.33823529411764708</v>
      </c>
    </row>
    <row r="174" spans="1:24" x14ac:dyDescent="0.25">
      <c r="A174" s="17" t="s">
        <v>378</v>
      </c>
      <c r="B174" s="6">
        <v>45783</v>
      </c>
      <c r="C174" s="4" t="s">
        <v>189</v>
      </c>
      <c r="D174" s="4" t="s">
        <v>133</v>
      </c>
      <c r="E174" s="4" t="s">
        <v>71</v>
      </c>
      <c r="F174" s="7">
        <v>1</v>
      </c>
      <c r="G174" s="7">
        <v>0.1</v>
      </c>
      <c r="H174" s="7">
        <v>6480</v>
      </c>
      <c r="I174" s="4">
        <v>4800</v>
      </c>
      <c r="J174" s="7">
        <v>1680</v>
      </c>
      <c r="K174" s="4" t="s">
        <v>187</v>
      </c>
      <c r="L174" s="4" t="s">
        <v>45</v>
      </c>
      <c r="M174" s="4" t="s">
        <v>39</v>
      </c>
      <c r="N174" s="7">
        <v>6480</v>
      </c>
      <c r="O174" s="4" t="s">
        <v>533</v>
      </c>
      <c r="P174" s="4" t="s">
        <v>520</v>
      </c>
      <c r="Q174" s="4" t="s">
        <v>412</v>
      </c>
      <c r="R174" s="4" t="s">
        <v>402</v>
      </c>
      <c r="S174" s="4" t="s">
        <v>462</v>
      </c>
      <c r="T174" s="4" t="s">
        <v>463</v>
      </c>
      <c r="U174" s="4">
        <v>4800</v>
      </c>
      <c r="V174" s="4">
        <v>7200</v>
      </c>
      <c r="W174" s="7">
        <v>6480</v>
      </c>
      <c r="X174" s="58">
        <v>0.25925925925925919</v>
      </c>
    </row>
    <row r="175" spans="1:24" x14ac:dyDescent="0.25">
      <c r="A175" s="17" t="s">
        <v>379</v>
      </c>
      <c r="B175" s="6">
        <v>45659</v>
      </c>
      <c r="C175" s="4" t="s">
        <v>168</v>
      </c>
      <c r="D175" s="4" t="s">
        <v>120</v>
      </c>
      <c r="E175" s="4" t="s">
        <v>91</v>
      </c>
      <c r="F175" s="7">
        <v>8</v>
      </c>
      <c r="G175" s="7">
        <v>0.12</v>
      </c>
      <c r="H175" s="7">
        <v>23936</v>
      </c>
      <c r="I175" s="4">
        <v>17600</v>
      </c>
      <c r="J175" s="7">
        <v>6336</v>
      </c>
      <c r="K175" s="4" t="s">
        <v>44</v>
      </c>
      <c r="L175" s="4" t="s">
        <v>45</v>
      </c>
      <c r="M175" s="4" t="s">
        <v>44</v>
      </c>
      <c r="N175" s="7">
        <v>23936</v>
      </c>
      <c r="O175" s="4" t="s">
        <v>510</v>
      </c>
      <c r="P175" s="4" t="s">
        <v>485</v>
      </c>
      <c r="Q175" s="4" t="s">
        <v>419</v>
      </c>
      <c r="R175" s="4" t="s">
        <v>402</v>
      </c>
      <c r="S175" s="4" t="s">
        <v>467</v>
      </c>
      <c r="T175" s="4" t="s">
        <v>456</v>
      </c>
      <c r="U175" s="4">
        <v>2200</v>
      </c>
      <c r="V175" s="4">
        <v>3400</v>
      </c>
      <c r="W175" s="7">
        <v>23936</v>
      </c>
      <c r="X175" s="58">
        <v>0.26470588235294118</v>
      </c>
    </row>
    <row r="176" spans="1:24" x14ac:dyDescent="0.25">
      <c r="A176" s="17" t="s">
        <v>380</v>
      </c>
      <c r="B176" s="6">
        <v>45823</v>
      </c>
      <c r="C176" s="4" t="s">
        <v>381</v>
      </c>
      <c r="D176" s="4" t="s">
        <v>84</v>
      </c>
      <c r="E176" s="4" t="s">
        <v>81</v>
      </c>
      <c r="F176" s="7">
        <v>6</v>
      </c>
      <c r="G176" s="7">
        <v>0.1</v>
      </c>
      <c r="H176" s="7">
        <v>48600</v>
      </c>
      <c r="I176" s="4">
        <v>39000</v>
      </c>
      <c r="J176" s="7">
        <v>9600</v>
      </c>
      <c r="K176" s="4" t="s">
        <v>44</v>
      </c>
      <c r="L176" s="4" t="s">
        <v>45</v>
      </c>
      <c r="M176" s="4" t="s">
        <v>44</v>
      </c>
      <c r="N176" s="7">
        <v>48600</v>
      </c>
      <c r="O176" s="4" t="s">
        <v>585</v>
      </c>
      <c r="P176" s="4" t="s">
        <v>579</v>
      </c>
      <c r="Q176" s="4" t="s">
        <v>439</v>
      </c>
      <c r="R176" s="4" t="s">
        <v>395</v>
      </c>
      <c r="S176" s="4" t="s">
        <v>470</v>
      </c>
      <c r="T176" s="4" t="s">
        <v>456</v>
      </c>
      <c r="U176" s="4">
        <v>6500</v>
      </c>
      <c r="V176" s="4">
        <v>9000</v>
      </c>
      <c r="W176" s="7">
        <v>48600</v>
      </c>
      <c r="X176" s="58">
        <v>0.19753086419753091</v>
      </c>
    </row>
    <row r="177" spans="1:24" x14ac:dyDescent="0.25">
      <c r="A177" s="17" t="s">
        <v>382</v>
      </c>
      <c r="B177" s="6">
        <v>45814</v>
      </c>
      <c r="C177" s="4" t="s">
        <v>336</v>
      </c>
      <c r="D177" s="4" t="s">
        <v>120</v>
      </c>
      <c r="E177" s="4" t="s">
        <v>145</v>
      </c>
      <c r="F177" s="7">
        <v>17</v>
      </c>
      <c r="G177" s="7">
        <v>0.12</v>
      </c>
      <c r="H177" s="7">
        <v>37400</v>
      </c>
      <c r="I177" s="4">
        <v>27200</v>
      </c>
      <c r="J177" s="7">
        <v>10200</v>
      </c>
      <c r="K177" s="4" t="s">
        <v>44</v>
      </c>
      <c r="L177" s="4" t="s">
        <v>122</v>
      </c>
      <c r="M177" s="4" t="s">
        <v>44</v>
      </c>
      <c r="N177" s="7">
        <v>37400</v>
      </c>
      <c r="O177" s="4" t="s">
        <v>517</v>
      </c>
      <c r="P177" s="4" t="s">
        <v>485</v>
      </c>
      <c r="Q177" s="4" t="s">
        <v>419</v>
      </c>
      <c r="R177" s="4" t="s">
        <v>402</v>
      </c>
      <c r="S177" s="4" t="s">
        <v>469</v>
      </c>
      <c r="T177" s="4" t="s">
        <v>460</v>
      </c>
      <c r="U177" s="4">
        <v>1600</v>
      </c>
      <c r="V177" s="4">
        <v>2500</v>
      </c>
      <c r="W177" s="7">
        <v>37400</v>
      </c>
      <c r="X177" s="58">
        <v>0.27272727272727271</v>
      </c>
    </row>
    <row r="178" spans="1:24" x14ac:dyDescent="0.25">
      <c r="A178" s="17" t="s">
        <v>383</v>
      </c>
      <c r="B178" s="6">
        <v>45675</v>
      </c>
      <c r="C178" s="4" t="s">
        <v>104</v>
      </c>
      <c r="D178" s="4" t="s">
        <v>166</v>
      </c>
      <c r="E178" s="4" t="s">
        <v>62</v>
      </c>
      <c r="F178" s="7">
        <v>14</v>
      </c>
      <c r="G178" s="7">
        <v>0</v>
      </c>
      <c r="H178" s="7">
        <v>147000</v>
      </c>
      <c r="I178" s="4">
        <v>105000</v>
      </c>
      <c r="J178" s="7">
        <v>42000</v>
      </c>
      <c r="K178" s="4" t="s">
        <v>34</v>
      </c>
      <c r="L178" s="4" t="s">
        <v>122</v>
      </c>
      <c r="M178" s="4" t="s">
        <v>34</v>
      </c>
      <c r="N178" s="7">
        <v>147000</v>
      </c>
      <c r="O178" s="4" t="s">
        <v>574</v>
      </c>
      <c r="P178" s="4" t="s">
        <v>478</v>
      </c>
      <c r="Q178" s="4" t="s">
        <v>414</v>
      </c>
      <c r="R178" s="4" t="s">
        <v>399</v>
      </c>
      <c r="S178" s="4" t="s">
        <v>464</v>
      </c>
      <c r="T178" s="4" t="s">
        <v>463</v>
      </c>
      <c r="U178" s="4">
        <v>7500</v>
      </c>
      <c r="V178" s="4">
        <v>10500</v>
      </c>
      <c r="W178" s="7">
        <v>147000</v>
      </c>
      <c r="X178" s="58">
        <v>0.2857142857142857</v>
      </c>
    </row>
    <row r="179" spans="1:24" x14ac:dyDescent="0.25">
      <c r="A179" s="17" t="s">
        <v>384</v>
      </c>
      <c r="B179" s="6">
        <v>45740</v>
      </c>
      <c r="C179" s="4" t="s">
        <v>104</v>
      </c>
      <c r="D179" s="4" t="s">
        <v>125</v>
      </c>
      <c r="E179" s="4" t="s">
        <v>162</v>
      </c>
      <c r="F179" s="7">
        <v>16</v>
      </c>
      <c r="G179" s="7">
        <v>0</v>
      </c>
      <c r="H179" s="7">
        <v>256000</v>
      </c>
      <c r="I179" s="4">
        <v>184000</v>
      </c>
      <c r="J179" s="7">
        <v>72000</v>
      </c>
      <c r="K179" s="4" t="s">
        <v>39</v>
      </c>
      <c r="L179" s="4" t="s">
        <v>35</v>
      </c>
      <c r="M179" s="4" t="s">
        <v>39</v>
      </c>
      <c r="N179" s="7">
        <v>256000</v>
      </c>
      <c r="O179" s="4" t="s">
        <v>574</v>
      </c>
      <c r="P179" s="4" t="s">
        <v>478</v>
      </c>
      <c r="Q179" s="4" t="s">
        <v>450</v>
      </c>
      <c r="R179" s="4" t="s">
        <v>395</v>
      </c>
      <c r="S179" s="4" t="s">
        <v>471</v>
      </c>
      <c r="T179" s="4" t="s">
        <v>463</v>
      </c>
      <c r="U179" s="4">
        <v>11500</v>
      </c>
      <c r="V179" s="4">
        <v>16000</v>
      </c>
      <c r="W179" s="7">
        <v>256000</v>
      </c>
      <c r="X179" s="58">
        <v>0.28125</v>
      </c>
    </row>
    <row r="180" spans="1:24" x14ac:dyDescent="0.25">
      <c r="A180" s="17" t="s">
        <v>387</v>
      </c>
      <c r="B180" s="6">
        <v>45690</v>
      </c>
      <c r="C180" s="4" t="s">
        <v>276</v>
      </c>
      <c r="D180" s="4" t="s">
        <v>151</v>
      </c>
      <c r="E180" s="4" t="s">
        <v>49</v>
      </c>
      <c r="F180" s="7">
        <v>10</v>
      </c>
      <c r="G180" s="7">
        <v>0.03</v>
      </c>
      <c r="H180" s="7">
        <v>46560</v>
      </c>
      <c r="I180" s="4">
        <v>32000</v>
      </c>
      <c r="J180" s="7">
        <v>14560</v>
      </c>
      <c r="K180" s="4" t="s">
        <v>63</v>
      </c>
      <c r="L180" s="4" t="s">
        <v>660</v>
      </c>
      <c r="M180" s="4" t="s">
        <v>63</v>
      </c>
      <c r="N180" s="7">
        <v>46560</v>
      </c>
      <c r="O180" s="4" t="s">
        <v>588</v>
      </c>
      <c r="P180" s="4" t="s">
        <v>579</v>
      </c>
      <c r="Q180" s="4" t="s">
        <v>408</v>
      </c>
      <c r="R180" s="4" t="s">
        <v>395</v>
      </c>
      <c r="S180" s="4" t="s">
        <v>472</v>
      </c>
      <c r="T180" s="4" t="s">
        <v>456</v>
      </c>
      <c r="U180" s="4">
        <v>3200</v>
      </c>
      <c r="V180" s="4">
        <v>4800</v>
      </c>
      <c r="W180" s="7">
        <v>46560</v>
      </c>
      <c r="X180" s="58">
        <v>0.3127147766323024</v>
      </c>
    </row>
    <row r="181" spans="1:24" x14ac:dyDescent="0.25">
      <c r="A181" s="22" t="s">
        <v>388</v>
      </c>
      <c r="B181" s="23">
        <v>45765</v>
      </c>
      <c r="C181" s="24" t="s">
        <v>191</v>
      </c>
      <c r="D181" s="24" t="s">
        <v>98</v>
      </c>
      <c r="E181" s="24" t="s">
        <v>162</v>
      </c>
      <c r="F181" s="25">
        <v>7</v>
      </c>
      <c r="G181" s="25">
        <v>0.03</v>
      </c>
      <c r="H181" s="25">
        <v>108640</v>
      </c>
      <c r="I181" s="24">
        <v>80500</v>
      </c>
      <c r="J181" s="25">
        <v>28140</v>
      </c>
      <c r="K181" s="24" t="s">
        <v>39</v>
      </c>
      <c r="L181" s="24" t="s">
        <v>45</v>
      </c>
      <c r="M181" s="24" t="s">
        <v>39</v>
      </c>
      <c r="N181" s="25">
        <v>108640</v>
      </c>
      <c r="O181" s="24" t="s">
        <v>567</v>
      </c>
      <c r="P181" s="24" t="s">
        <v>478</v>
      </c>
      <c r="Q181" s="24" t="s">
        <v>428</v>
      </c>
      <c r="R181" s="24" t="s">
        <v>399</v>
      </c>
      <c r="S181" s="24" t="s">
        <v>471</v>
      </c>
      <c r="T181" s="24" t="s">
        <v>463</v>
      </c>
      <c r="U181" s="24">
        <v>11500</v>
      </c>
      <c r="V181" s="24">
        <v>16000</v>
      </c>
      <c r="W181" s="25">
        <v>108640</v>
      </c>
      <c r="X181" s="59">
        <v>0.25902061855670111</v>
      </c>
    </row>
    <row r="184" spans="1:24" x14ac:dyDescent="0.25">
      <c r="L184">
        <f>COUNTA(L2:L181)</f>
        <v>180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"/>
  <sheetViews>
    <sheetView showGridLines="0" workbookViewId="0">
      <selection activeCell="K3" sqref="K3"/>
    </sheetView>
  </sheetViews>
  <sheetFormatPr defaultRowHeight="15" x14ac:dyDescent="0.25"/>
  <cols>
    <col min="1" max="5" width="22" customWidth="1"/>
    <col min="6" max="6" width="19" customWidth="1"/>
    <col min="7" max="7" width="15.42578125" customWidth="1"/>
    <col min="8" max="8" width="19.28515625" customWidth="1"/>
    <col min="9" max="9" width="18.28515625" customWidth="1"/>
    <col min="10" max="10" width="17.5703125" customWidth="1"/>
    <col min="11" max="11" width="15.42578125" customWidth="1"/>
    <col min="12" max="12" width="19.85546875" customWidth="1"/>
    <col min="13" max="13" width="20" customWidth="1"/>
    <col min="14" max="14" width="11.140625" customWidth="1"/>
    <col min="15" max="15" width="16.7109375" customWidth="1"/>
    <col min="16" max="16" width="25.5703125" customWidth="1"/>
  </cols>
  <sheetData>
    <row r="1" spans="1:16" ht="18.75" x14ac:dyDescent="0.3">
      <c r="A1" s="1" t="s">
        <v>662</v>
      </c>
    </row>
    <row r="2" spans="1:16" x14ac:dyDescent="0.25">
      <c r="A2" s="10" t="s">
        <v>20</v>
      </c>
      <c r="B2" s="10" t="s">
        <v>479</v>
      </c>
      <c r="C2" s="10" t="s">
        <v>480</v>
      </c>
      <c r="D2" s="10" t="s">
        <v>482</v>
      </c>
      <c r="E2" s="10" t="s">
        <v>483</v>
      </c>
      <c r="F2" s="10" t="s">
        <v>603</v>
      </c>
      <c r="G2" s="10" t="s">
        <v>604</v>
      </c>
      <c r="H2" s="10" t="s">
        <v>605</v>
      </c>
      <c r="I2" s="10" t="s">
        <v>606</v>
      </c>
      <c r="J2" s="10" t="s">
        <v>607</v>
      </c>
      <c r="K2" s="10" t="s">
        <v>608</v>
      </c>
      <c r="L2" s="10" t="s">
        <v>663</v>
      </c>
      <c r="M2" s="10" t="s">
        <v>664</v>
      </c>
      <c r="N2" s="10" t="s">
        <v>665</v>
      </c>
      <c r="O2" s="10" t="s">
        <v>666</v>
      </c>
      <c r="P2" s="10" t="s">
        <v>667</v>
      </c>
    </row>
    <row r="3" spans="1:16" x14ac:dyDescent="0.25">
      <c r="A3" t="s">
        <v>80</v>
      </c>
      <c r="B3" t="s">
        <v>484</v>
      </c>
      <c r="C3" t="s">
        <v>485</v>
      </c>
      <c r="D3">
        <v>51000</v>
      </c>
      <c r="E3">
        <v>800000</v>
      </c>
      <c r="F3" s="11">
        <v>865500</v>
      </c>
      <c r="G3" s="11">
        <v>90.7</v>
      </c>
      <c r="H3" s="11">
        <v>95.3</v>
      </c>
      <c r="I3" s="11">
        <v>91.1</v>
      </c>
      <c r="J3" s="11">
        <v>81.599999999999994</v>
      </c>
      <c r="K3" s="11">
        <v>97.7</v>
      </c>
      <c r="L3" s="11">
        <v>1.0818749999999999</v>
      </c>
      <c r="M3" t="s">
        <v>668</v>
      </c>
      <c r="N3" s="11">
        <v>0.1</v>
      </c>
      <c r="O3" s="11">
        <v>5100</v>
      </c>
      <c r="P3" s="11">
        <v>56100</v>
      </c>
    </row>
    <row r="4" spans="1:16" x14ac:dyDescent="0.25">
      <c r="A4" t="s">
        <v>225</v>
      </c>
      <c r="B4" t="s">
        <v>487</v>
      </c>
      <c r="C4" t="s">
        <v>485</v>
      </c>
      <c r="D4">
        <v>39000</v>
      </c>
      <c r="E4">
        <v>1130000</v>
      </c>
      <c r="F4" s="11">
        <v>904600</v>
      </c>
      <c r="G4" s="11">
        <v>81.400000000000006</v>
      </c>
      <c r="H4" s="11">
        <v>94.8</v>
      </c>
      <c r="I4" s="11">
        <v>68</v>
      </c>
      <c r="J4" s="11">
        <v>73.3</v>
      </c>
      <c r="K4" s="11">
        <v>79.599999999999994</v>
      </c>
      <c r="L4" s="11">
        <v>0.8005309734513274</v>
      </c>
      <c r="M4" t="s">
        <v>669</v>
      </c>
      <c r="N4" s="11">
        <v>0</v>
      </c>
      <c r="O4" s="11">
        <v>0</v>
      </c>
      <c r="P4" s="11">
        <v>39000</v>
      </c>
    </row>
    <row r="5" spans="1:16" x14ac:dyDescent="0.25">
      <c r="A5" t="s">
        <v>489</v>
      </c>
      <c r="B5" t="s">
        <v>490</v>
      </c>
      <c r="C5" t="s">
        <v>485</v>
      </c>
      <c r="D5">
        <v>32000</v>
      </c>
      <c r="E5">
        <v>1040000</v>
      </c>
      <c r="F5" s="11">
        <v>1103000</v>
      </c>
      <c r="G5" s="11">
        <v>78.3</v>
      </c>
      <c r="H5" s="11">
        <v>93.3</v>
      </c>
      <c r="I5" s="11">
        <v>76.400000000000006</v>
      </c>
      <c r="J5" s="11">
        <v>96.2</v>
      </c>
      <c r="K5" s="11">
        <v>94.8</v>
      </c>
      <c r="L5" s="11">
        <v>1.0605769230769231</v>
      </c>
      <c r="M5" t="s">
        <v>668</v>
      </c>
      <c r="N5" s="11">
        <v>0.1</v>
      </c>
      <c r="O5" s="11">
        <v>3200</v>
      </c>
      <c r="P5" s="11">
        <v>35200</v>
      </c>
    </row>
    <row r="6" spans="1:16" x14ac:dyDescent="0.25">
      <c r="A6" t="s">
        <v>51</v>
      </c>
      <c r="B6" t="s">
        <v>492</v>
      </c>
      <c r="C6" t="s">
        <v>485</v>
      </c>
      <c r="D6">
        <v>44500</v>
      </c>
      <c r="E6">
        <v>720000</v>
      </c>
      <c r="F6" s="11">
        <v>869100</v>
      </c>
      <c r="G6" s="11">
        <v>70.900000000000006</v>
      </c>
      <c r="H6" s="11">
        <v>91.9</v>
      </c>
      <c r="I6" s="11">
        <v>88.5</v>
      </c>
      <c r="J6" s="11">
        <v>88.8</v>
      </c>
      <c r="K6" s="11">
        <v>99.9</v>
      </c>
      <c r="L6" s="11">
        <v>1.2070833333333331</v>
      </c>
      <c r="M6" t="s">
        <v>670</v>
      </c>
      <c r="N6" s="11">
        <v>0.2</v>
      </c>
      <c r="O6" s="11">
        <v>8900</v>
      </c>
      <c r="P6" s="11">
        <v>53400</v>
      </c>
    </row>
    <row r="7" spans="1:16" x14ac:dyDescent="0.25">
      <c r="A7" t="s">
        <v>147</v>
      </c>
      <c r="B7" t="s">
        <v>493</v>
      </c>
      <c r="C7" t="s">
        <v>485</v>
      </c>
      <c r="D7">
        <v>31500</v>
      </c>
      <c r="E7">
        <v>1060000</v>
      </c>
      <c r="F7" s="11">
        <v>1030900</v>
      </c>
      <c r="G7" s="11">
        <v>71.8</v>
      </c>
      <c r="H7" s="11">
        <v>91.3</v>
      </c>
      <c r="I7" s="11">
        <v>74.8</v>
      </c>
      <c r="J7" s="11">
        <v>86.2</v>
      </c>
      <c r="K7" s="11">
        <v>87.7</v>
      </c>
      <c r="L7" s="11">
        <v>0.97254716981132072</v>
      </c>
      <c r="M7" t="s">
        <v>671</v>
      </c>
      <c r="N7" s="11">
        <v>0.05</v>
      </c>
      <c r="O7" s="11">
        <v>1575</v>
      </c>
      <c r="P7" s="11">
        <v>33075</v>
      </c>
    </row>
    <row r="8" spans="1:16" x14ac:dyDescent="0.25">
      <c r="A8" t="s">
        <v>359</v>
      </c>
      <c r="B8" t="s">
        <v>494</v>
      </c>
      <c r="C8" t="s">
        <v>485</v>
      </c>
      <c r="D8">
        <v>37500</v>
      </c>
      <c r="E8">
        <v>720000</v>
      </c>
      <c r="F8" s="11">
        <v>926400</v>
      </c>
      <c r="G8" s="11">
        <v>75.8</v>
      </c>
      <c r="H8" s="11">
        <v>89.9</v>
      </c>
      <c r="I8" s="11">
        <v>78.900000000000006</v>
      </c>
      <c r="J8" s="11">
        <v>92.3</v>
      </c>
      <c r="K8" s="11">
        <v>100</v>
      </c>
      <c r="L8" s="11">
        <v>1.2866666666666671</v>
      </c>
      <c r="M8" t="s">
        <v>670</v>
      </c>
      <c r="N8" s="11">
        <v>0.2</v>
      </c>
      <c r="O8" s="11">
        <v>7500</v>
      </c>
      <c r="P8" s="11">
        <v>45000</v>
      </c>
    </row>
    <row r="9" spans="1:16" x14ac:dyDescent="0.25">
      <c r="A9" t="s">
        <v>326</v>
      </c>
      <c r="B9" t="s">
        <v>495</v>
      </c>
      <c r="C9" t="s">
        <v>485</v>
      </c>
      <c r="D9">
        <v>34000</v>
      </c>
      <c r="E9">
        <v>1200000</v>
      </c>
      <c r="F9" s="11">
        <v>863500</v>
      </c>
      <c r="G9" s="11">
        <v>95.1</v>
      </c>
      <c r="H9" s="11">
        <v>93.3</v>
      </c>
      <c r="I9" s="11">
        <v>72.7</v>
      </c>
      <c r="J9" s="11">
        <v>71.2</v>
      </c>
      <c r="K9" s="11">
        <v>78.7</v>
      </c>
      <c r="L9" s="11">
        <v>0.71958333333333335</v>
      </c>
      <c r="M9" t="s">
        <v>669</v>
      </c>
      <c r="N9" s="11">
        <v>0</v>
      </c>
      <c r="O9" s="11">
        <v>0</v>
      </c>
      <c r="P9" s="11">
        <v>34000</v>
      </c>
    </row>
    <row r="10" spans="1:16" x14ac:dyDescent="0.25">
      <c r="A10" t="s">
        <v>218</v>
      </c>
      <c r="B10" t="s">
        <v>496</v>
      </c>
      <c r="C10" t="s">
        <v>485</v>
      </c>
      <c r="D10">
        <v>51000</v>
      </c>
      <c r="E10">
        <v>1130000</v>
      </c>
      <c r="F10" s="11">
        <v>1251100</v>
      </c>
      <c r="G10" s="11">
        <v>80.5</v>
      </c>
      <c r="H10" s="11">
        <v>94.7</v>
      </c>
      <c r="I10" s="11">
        <v>71</v>
      </c>
      <c r="J10" s="11">
        <v>81.400000000000006</v>
      </c>
      <c r="K10" s="11">
        <v>94.7</v>
      </c>
      <c r="L10" s="11">
        <v>1.10716814159292</v>
      </c>
      <c r="M10" t="s">
        <v>672</v>
      </c>
      <c r="N10" s="11">
        <v>0.15</v>
      </c>
      <c r="O10" s="11">
        <v>7650</v>
      </c>
      <c r="P10" s="11">
        <v>58650</v>
      </c>
    </row>
    <row r="11" spans="1:16" x14ac:dyDescent="0.25">
      <c r="A11" t="s">
        <v>76</v>
      </c>
      <c r="B11" t="s">
        <v>497</v>
      </c>
      <c r="C11" t="s">
        <v>485</v>
      </c>
      <c r="D11">
        <v>46000</v>
      </c>
      <c r="E11">
        <v>820000</v>
      </c>
      <c r="F11" s="11">
        <v>731800</v>
      </c>
      <c r="G11" s="11">
        <v>81.099999999999994</v>
      </c>
      <c r="H11" s="11">
        <v>91.3</v>
      </c>
      <c r="I11" s="11">
        <v>64.7</v>
      </c>
      <c r="J11" s="11">
        <v>99</v>
      </c>
      <c r="K11" s="11">
        <v>86.8</v>
      </c>
      <c r="L11" s="11">
        <v>0.89243902439024392</v>
      </c>
      <c r="M11" t="s">
        <v>669</v>
      </c>
      <c r="N11" s="11">
        <v>0</v>
      </c>
      <c r="O11" s="11">
        <v>0</v>
      </c>
      <c r="P11" s="11">
        <v>46000</v>
      </c>
    </row>
    <row r="12" spans="1:16" x14ac:dyDescent="0.25">
      <c r="A12" t="s">
        <v>65</v>
      </c>
      <c r="B12" t="s">
        <v>498</v>
      </c>
      <c r="C12" t="s">
        <v>485</v>
      </c>
      <c r="D12">
        <v>30500</v>
      </c>
      <c r="E12">
        <v>1100000</v>
      </c>
      <c r="F12" s="11">
        <v>808000</v>
      </c>
      <c r="G12" s="11">
        <v>83.6</v>
      </c>
      <c r="H12" s="11">
        <v>86.9</v>
      </c>
      <c r="I12" s="11">
        <v>60</v>
      </c>
      <c r="J12" s="11">
        <v>84.8</v>
      </c>
      <c r="K12" s="11">
        <v>77.2</v>
      </c>
      <c r="L12" s="11">
        <v>0.7345454545454545</v>
      </c>
      <c r="M12" t="s">
        <v>669</v>
      </c>
      <c r="N12" s="11">
        <v>0</v>
      </c>
      <c r="O12" s="11">
        <v>0</v>
      </c>
      <c r="P12" s="11">
        <v>30500</v>
      </c>
    </row>
    <row r="13" spans="1:16" x14ac:dyDescent="0.25">
      <c r="A13" t="s">
        <v>184</v>
      </c>
      <c r="B13" t="s">
        <v>499</v>
      </c>
      <c r="C13" t="s">
        <v>485</v>
      </c>
      <c r="D13">
        <v>28500</v>
      </c>
      <c r="E13">
        <v>1120000</v>
      </c>
      <c r="F13" s="11">
        <v>1132800</v>
      </c>
      <c r="G13" s="11">
        <v>93.4</v>
      </c>
      <c r="H13" s="11">
        <v>95.6</v>
      </c>
      <c r="I13" s="11">
        <v>78.5</v>
      </c>
      <c r="J13" s="11">
        <v>76.400000000000006</v>
      </c>
      <c r="K13" s="11">
        <v>93.1</v>
      </c>
      <c r="L13" s="11">
        <v>1.0114285714285709</v>
      </c>
      <c r="M13" t="s">
        <v>668</v>
      </c>
      <c r="N13" s="11">
        <v>0.1</v>
      </c>
      <c r="O13" s="11">
        <v>2850</v>
      </c>
      <c r="P13" s="11">
        <v>31350</v>
      </c>
    </row>
    <row r="14" spans="1:16" x14ac:dyDescent="0.25">
      <c r="A14" t="s">
        <v>93</v>
      </c>
      <c r="B14" t="s">
        <v>500</v>
      </c>
      <c r="C14" t="s">
        <v>485</v>
      </c>
      <c r="D14">
        <v>31000</v>
      </c>
      <c r="E14">
        <v>1110000</v>
      </c>
      <c r="F14" s="11">
        <v>1387300</v>
      </c>
      <c r="G14" s="11">
        <v>90.4</v>
      </c>
      <c r="H14" s="11">
        <v>89</v>
      </c>
      <c r="I14" s="11">
        <v>80.400000000000006</v>
      </c>
      <c r="J14" s="11">
        <v>85.2</v>
      </c>
      <c r="K14" s="11">
        <v>100</v>
      </c>
      <c r="L14" s="11">
        <v>1.24981981981982</v>
      </c>
      <c r="M14" t="s">
        <v>670</v>
      </c>
      <c r="N14" s="11">
        <v>0.2</v>
      </c>
      <c r="O14" s="11">
        <v>6200</v>
      </c>
      <c r="P14" s="11">
        <v>37200</v>
      </c>
    </row>
    <row r="15" spans="1:16" x14ac:dyDescent="0.25">
      <c r="A15" t="s">
        <v>160</v>
      </c>
      <c r="B15" t="s">
        <v>501</v>
      </c>
      <c r="C15" t="s">
        <v>485</v>
      </c>
      <c r="D15">
        <v>44500</v>
      </c>
      <c r="E15">
        <v>1170000</v>
      </c>
      <c r="F15" s="11">
        <v>1073800</v>
      </c>
      <c r="G15" s="11">
        <v>88.9</v>
      </c>
      <c r="H15" s="11">
        <v>97.3</v>
      </c>
      <c r="I15" s="11">
        <v>78.099999999999994</v>
      </c>
      <c r="J15" s="11">
        <v>81.8</v>
      </c>
      <c r="K15" s="11">
        <v>88.9</v>
      </c>
      <c r="L15" s="11">
        <v>0.9177777777777778</v>
      </c>
      <c r="M15" t="s">
        <v>671</v>
      </c>
      <c r="N15" s="11">
        <v>0.05</v>
      </c>
      <c r="O15" s="11">
        <v>2225</v>
      </c>
      <c r="P15" s="11">
        <v>46725</v>
      </c>
    </row>
    <row r="16" spans="1:16" x14ac:dyDescent="0.25">
      <c r="A16" t="s">
        <v>312</v>
      </c>
      <c r="B16" t="s">
        <v>502</v>
      </c>
      <c r="C16" t="s">
        <v>485</v>
      </c>
      <c r="D16">
        <v>42000</v>
      </c>
      <c r="E16">
        <v>830000</v>
      </c>
      <c r="F16" s="11">
        <v>1037300</v>
      </c>
      <c r="G16" s="11">
        <v>90.4</v>
      </c>
      <c r="H16" s="11">
        <v>94.3</v>
      </c>
      <c r="I16" s="11">
        <v>63.7</v>
      </c>
      <c r="J16" s="11">
        <v>86.8</v>
      </c>
      <c r="K16" s="11">
        <v>100</v>
      </c>
      <c r="L16" s="11">
        <v>1.2497590361445781</v>
      </c>
      <c r="M16" t="s">
        <v>670</v>
      </c>
      <c r="N16" s="11">
        <v>0.2</v>
      </c>
      <c r="O16" s="11">
        <v>8400</v>
      </c>
      <c r="P16" s="11">
        <v>50400</v>
      </c>
    </row>
    <row r="17" spans="1:16" x14ac:dyDescent="0.25">
      <c r="A17" t="s">
        <v>221</v>
      </c>
      <c r="B17" t="s">
        <v>503</v>
      </c>
      <c r="C17" t="s">
        <v>485</v>
      </c>
      <c r="D17">
        <v>28500</v>
      </c>
      <c r="E17">
        <v>730000</v>
      </c>
      <c r="F17" s="11">
        <v>807100</v>
      </c>
      <c r="G17" s="11">
        <v>57.2</v>
      </c>
      <c r="H17" s="11">
        <v>95</v>
      </c>
      <c r="I17" s="11">
        <v>75.8</v>
      </c>
      <c r="J17" s="11">
        <v>82.2</v>
      </c>
      <c r="K17" s="11">
        <v>90.6</v>
      </c>
      <c r="L17" s="11">
        <v>1.105616438356164</v>
      </c>
      <c r="M17" t="s">
        <v>672</v>
      </c>
      <c r="N17" s="11">
        <v>0.15</v>
      </c>
      <c r="O17" s="11">
        <v>4275</v>
      </c>
      <c r="P17" s="11">
        <v>32775</v>
      </c>
    </row>
    <row r="18" spans="1:16" x14ac:dyDescent="0.25">
      <c r="A18" t="s">
        <v>60</v>
      </c>
      <c r="B18" t="s">
        <v>504</v>
      </c>
      <c r="C18" t="s">
        <v>485</v>
      </c>
      <c r="D18">
        <v>38500</v>
      </c>
      <c r="E18">
        <v>760000</v>
      </c>
      <c r="F18" s="11">
        <v>620700</v>
      </c>
      <c r="G18" s="11">
        <v>80.7</v>
      </c>
      <c r="H18" s="11">
        <v>99.6</v>
      </c>
      <c r="I18" s="11">
        <v>75.5</v>
      </c>
      <c r="J18" s="11">
        <v>91.7</v>
      </c>
      <c r="K18" s="11">
        <v>84.2</v>
      </c>
      <c r="L18" s="11">
        <v>0.81671052631578944</v>
      </c>
      <c r="M18" t="s">
        <v>669</v>
      </c>
      <c r="N18" s="11">
        <v>0</v>
      </c>
      <c r="O18" s="11">
        <v>0</v>
      </c>
      <c r="P18" s="11">
        <v>38500</v>
      </c>
    </row>
    <row r="19" spans="1:16" x14ac:dyDescent="0.25">
      <c r="A19" t="s">
        <v>299</v>
      </c>
      <c r="B19" t="s">
        <v>505</v>
      </c>
      <c r="C19" t="s">
        <v>485</v>
      </c>
      <c r="D19">
        <v>31000</v>
      </c>
      <c r="E19">
        <v>1170000</v>
      </c>
      <c r="F19" s="11">
        <v>976800</v>
      </c>
      <c r="G19" s="11">
        <v>88.8</v>
      </c>
      <c r="H19" s="11">
        <v>94</v>
      </c>
      <c r="I19" s="11">
        <v>83.5</v>
      </c>
      <c r="J19" s="11">
        <v>84.1</v>
      </c>
      <c r="K19" s="11">
        <v>85.7</v>
      </c>
      <c r="L19" s="11">
        <v>0.83487179487179486</v>
      </c>
      <c r="M19" t="s">
        <v>669</v>
      </c>
      <c r="N19" s="11">
        <v>0</v>
      </c>
      <c r="O19" s="11">
        <v>0</v>
      </c>
      <c r="P19" s="11">
        <v>31000</v>
      </c>
    </row>
    <row r="20" spans="1:16" x14ac:dyDescent="0.25">
      <c r="A20" t="s">
        <v>265</v>
      </c>
      <c r="B20" t="s">
        <v>506</v>
      </c>
      <c r="C20" t="s">
        <v>485</v>
      </c>
      <c r="D20">
        <v>32000</v>
      </c>
      <c r="E20">
        <v>990000</v>
      </c>
      <c r="F20" s="11">
        <v>1084500</v>
      </c>
      <c r="G20" s="11">
        <v>58.9</v>
      </c>
      <c r="H20" s="11">
        <v>88.3</v>
      </c>
      <c r="I20" s="11">
        <v>84.2</v>
      </c>
      <c r="J20" s="11">
        <v>67.7</v>
      </c>
      <c r="K20" s="11">
        <v>88.5</v>
      </c>
      <c r="L20" s="11">
        <v>1.095454545454545</v>
      </c>
      <c r="M20" t="s">
        <v>668</v>
      </c>
      <c r="N20" s="11">
        <v>0.1</v>
      </c>
      <c r="O20" s="11">
        <v>3200</v>
      </c>
      <c r="P20" s="11">
        <v>35200</v>
      </c>
    </row>
    <row r="21" spans="1:16" x14ac:dyDescent="0.25">
      <c r="A21" t="s">
        <v>355</v>
      </c>
      <c r="B21" t="s">
        <v>507</v>
      </c>
      <c r="C21" t="s">
        <v>485</v>
      </c>
      <c r="D21">
        <v>37500</v>
      </c>
      <c r="E21">
        <v>710000</v>
      </c>
      <c r="F21" s="11">
        <v>628000</v>
      </c>
      <c r="G21" s="11">
        <v>81.5</v>
      </c>
      <c r="H21" s="11">
        <v>90.7</v>
      </c>
      <c r="I21" s="11">
        <v>73.099999999999994</v>
      </c>
      <c r="J21" s="11">
        <v>86.2</v>
      </c>
      <c r="K21" s="11">
        <v>85.4</v>
      </c>
      <c r="L21" s="11">
        <v>0.88450704225352117</v>
      </c>
      <c r="M21" t="s">
        <v>669</v>
      </c>
      <c r="N21" s="11">
        <v>0</v>
      </c>
      <c r="O21" s="11">
        <v>0</v>
      </c>
      <c r="P21" s="11">
        <v>37500</v>
      </c>
    </row>
    <row r="22" spans="1:16" x14ac:dyDescent="0.25">
      <c r="A22" t="s">
        <v>243</v>
      </c>
      <c r="B22" t="s">
        <v>508</v>
      </c>
      <c r="C22" t="s">
        <v>485</v>
      </c>
      <c r="D22">
        <v>38000</v>
      </c>
      <c r="E22">
        <v>880000</v>
      </c>
      <c r="F22" s="11">
        <v>1022300</v>
      </c>
      <c r="G22" s="11">
        <v>73.400000000000006</v>
      </c>
      <c r="H22" s="11">
        <v>91.7</v>
      </c>
      <c r="I22" s="11">
        <v>72.7</v>
      </c>
      <c r="J22" s="11">
        <v>64.599999999999994</v>
      </c>
      <c r="K22" s="11">
        <v>93.1</v>
      </c>
      <c r="L22" s="11">
        <v>1.1617045454545449</v>
      </c>
      <c r="M22" t="s">
        <v>672</v>
      </c>
      <c r="N22" s="11">
        <v>0.15</v>
      </c>
      <c r="O22" s="11">
        <v>5700</v>
      </c>
      <c r="P22" s="11">
        <v>43700</v>
      </c>
    </row>
    <row r="23" spans="1:16" x14ac:dyDescent="0.25">
      <c r="A23" t="s">
        <v>111</v>
      </c>
      <c r="B23" t="s">
        <v>509</v>
      </c>
      <c r="C23" t="s">
        <v>485</v>
      </c>
      <c r="D23">
        <v>34500</v>
      </c>
      <c r="E23">
        <v>920000</v>
      </c>
      <c r="F23" s="11">
        <v>925100</v>
      </c>
      <c r="G23" s="11">
        <v>90.4</v>
      </c>
      <c r="H23" s="11">
        <v>98.1</v>
      </c>
      <c r="I23" s="11">
        <v>71.3</v>
      </c>
      <c r="J23" s="11">
        <v>74</v>
      </c>
      <c r="K23" s="11">
        <v>91.4</v>
      </c>
      <c r="L23" s="11">
        <v>1.0055434782608701</v>
      </c>
      <c r="M23" t="s">
        <v>668</v>
      </c>
      <c r="N23" s="11">
        <v>0.1</v>
      </c>
      <c r="O23" s="11">
        <v>3450</v>
      </c>
      <c r="P23" s="11">
        <v>37950</v>
      </c>
    </row>
    <row r="24" spans="1:16" x14ac:dyDescent="0.25">
      <c r="A24" t="s">
        <v>168</v>
      </c>
      <c r="B24" t="s">
        <v>510</v>
      </c>
      <c r="C24" t="s">
        <v>485</v>
      </c>
      <c r="D24">
        <v>29000</v>
      </c>
      <c r="E24">
        <v>1010000</v>
      </c>
      <c r="F24" s="11">
        <v>993700</v>
      </c>
      <c r="G24" s="11">
        <v>89.5</v>
      </c>
      <c r="H24" s="11">
        <v>94.6</v>
      </c>
      <c r="I24" s="11">
        <v>82.9</v>
      </c>
      <c r="J24" s="11">
        <v>93.1</v>
      </c>
      <c r="K24" s="11">
        <v>93.9</v>
      </c>
      <c r="L24" s="11">
        <v>0.98386138613861385</v>
      </c>
      <c r="M24" t="s">
        <v>671</v>
      </c>
      <c r="N24" s="11">
        <v>0.05</v>
      </c>
      <c r="O24" s="11">
        <v>1450</v>
      </c>
      <c r="P24" s="11">
        <v>30450</v>
      </c>
    </row>
    <row r="25" spans="1:16" x14ac:dyDescent="0.25">
      <c r="A25" t="s">
        <v>511</v>
      </c>
      <c r="B25" t="s">
        <v>512</v>
      </c>
      <c r="C25" t="s">
        <v>485</v>
      </c>
      <c r="D25">
        <v>43500</v>
      </c>
      <c r="E25">
        <v>950000</v>
      </c>
      <c r="F25" s="11">
        <v>804600</v>
      </c>
      <c r="G25" s="11">
        <v>80</v>
      </c>
      <c r="H25" s="11">
        <v>100</v>
      </c>
      <c r="I25" s="11">
        <v>78</v>
      </c>
      <c r="J25" s="11">
        <v>73.900000000000006</v>
      </c>
      <c r="K25" s="11">
        <v>83</v>
      </c>
      <c r="L25" s="11">
        <v>0.84694736842105267</v>
      </c>
      <c r="M25" t="s">
        <v>669</v>
      </c>
      <c r="N25" s="11">
        <v>0</v>
      </c>
      <c r="O25" s="11">
        <v>0</v>
      </c>
      <c r="P25" s="11">
        <v>43500</v>
      </c>
    </row>
    <row r="26" spans="1:16" x14ac:dyDescent="0.25">
      <c r="A26" t="s">
        <v>197</v>
      </c>
      <c r="B26" t="s">
        <v>513</v>
      </c>
      <c r="C26" t="s">
        <v>485</v>
      </c>
      <c r="D26">
        <v>39500</v>
      </c>
      <c r="E26">
        <v>740000</v>
      </c>
      <c r="F26" s="11">
        <v>636000</v>
      </c>
      <c r="G26" s="11">
        <v>73.599999999999994</v>
      </c>
      <c r="H26" s="11">
        <v>95.4</v>
      </c>
      <c r="I26" s="11">
        <v>71</v>
      </c>
      <c r="J26" s="11">
        <v>86.2</v>
      </c>
      <c r="K26" s="11">
        <v>83</v>
      </c>
      <c r="L26" s="11">
        <v>0.85945945945945945</v>
      </c>
      <c r="M26" t="s">
        <v>669</v>
      </c>
      <c r="N26" s="11">
        <v>0</v>
      </c>
      <c r="O26" s="11">
        <v>0</v>
      </c>
      <c r="P26" s="11">
        <v>39500</v>
      </c>
    </row>
    <row r="27" spans="1:16" x14ac:dyDescent="0.25">
      <c r="A27" t="s">
        <v>211</v>
      </c>
      <c r="B27" t="s">
        <v>514</v>
      </c>
      <c r="C27" t="s">
        <v>485</v>
      </c>
      <c r="D27">
        <v>31500</v>
      </c>
      <c r="E27">
        <v>800000</v>
      </c>
      <c r="F27" s="11">
        <v>678000</v>
      </c>
      <c r="G27" s="11">
        <v>62.9</v>
      </c>
      <c r="H27" s="11">
        <v>95.2</v>
      </c>
      <c r="I27" s="11">
        <v>81.5</v>
      </c>
      <c r="J27" s="11">
        <v>88.1</v>
      </c>
      <c r="K27" s="11">
        <v>81.599999999999994</v>
      </c>
      <c r="L27" s="11">
        <v>0.84750000000000003</v>
      </c>
      <c r="M27" t="s">
        <v>669</v>
      </c>
      <c r="N27" s="11">
        <v>0</v>
      </c>
      <c r="O27" s="11">
        <v>0</v>
      </c>
      <c r="P27" s="11">
        <v>31500</v>
      </c>
    </row>
    <row r="28" spans="1:16" x14ac:dyDescent="0.25">
      <c r="A28" t="s">
        <v>515</v>
      </c>
      <c r="B28" t="s">
        <v>516</v>
      </c>
      <c r="C28" t="s">
        <v>485</v>
      </c>
      <c r="D28">
        <v>34000</v>
      </c>
      <c r="E28">
        <v>1200000</v>
      </c>
      <c r="F28" s="11">
        <v>1030600</v>
      </c>
      <c r="G28" s="11">
        <v>75</v>
      </c>
      <c r="H28" s="11">
        <v>95.6</v>
      </c>
      <c r="I28" s="11">
        <v>95.2</v>
      </c>
      <c r="J28" s="11">
        <v>84.1</v>
      </c>
      <c r="K28" s="11">
        <v>85.3</v>
      </c>
      <c r="L28" s="11">
        <v>0.85883333333333334</v>
      </c>
      <c r="M28" t="s">
        <v>669</v>
      </c>
      <c r="N28" s="11">
        <v>0</v>
      </c>
      <c r="O28" s="11">
        <v>0</v>
      </c>
      <c r="P28" s="11">
        <v>34000</v>
      </c>
    </row>
    <row r="29" spans="1:16" x14ac:dyDescent="0.25">
      <c r="A29" t="s">
        <v>336</v>
      </c>
      <c r="B29" t="s">
        <v>517</v>
      </c>
      <c r="C29" t="s">
        <v>485</v>
      </c>
      <c r="D29">
        <v>47000</v>
      </c>
      <c r="E29">
        <v>1190000</v>
      </c>
      <c r="F29" s="11">
        <v>1257100</v>
      </c>
      <c r="G29" s="11">
        <v>79.099999999999994</v>
      </c>
      <c r="H29" s="11">
        <v>87.8</v>
      </c>
      <c r="I29" s="11">
        <v>89.7</v>
      </c>
      <c r="J29" s="11">
        <v>91.3</v>
      </c>
      <c r="K29" s="11">
        <v>94.8</v>
      </c>
      <c r="L29" s="11">
        <v>1.0563865546218489</v>
      </c>
      <c r="M29" t="s">
        <v>668</v>
      </c>
      <c r="N29" s="11">
        <v>0.1</v>
      </c>
      <c r="O29" s="11">
        <v>4700</v>
      </c>
      <c r="P29" s="11">
        <v>51700</v>
      </c>
    </row>
    <row r="30" spans="1:16" x14ac:dyDescent="0.25">
      <c r="A30" t="s">
        <v>73</v>
      </c>
      <c r="B30" t="s">
        <v>518</v>
      </c>
      <c r="C30" t="s">
        <v>485</v>
      </c>
      <c r="D30">
        <v>36500</v>
      </c>
      <c r="E30">
        <v>970000</v>
      </c>
      <c r="F30" s="11">
        <v>1074700</v>
      </c>
      <c r="G30" s="11">
        <v>80.400000000000006</v>
      </c>
      <c r="H30" s="11">
        <v>96.4</v>
      </c>
      <c r="I30" s="11">
        <v>88.9</v>
      </c>
      <c r="J30" s="11">
        <v>97</v>
      </c>
      <c r="K30" s="11">
        <v>99</v>
      </c>
      <c r="L30" s="11">
        <v>1.107938144329897</v>
      </c>
      <c r="M30" t="s">
        <v>672</v>
      </c>
      <c r="N30" s="11">
        <v>0.15</v>
      </c>
      <c r="O30" s="11">
        <v>5475</v>
      </c>
      <c r="P30" s="11">
        <v>41975</v>
      </c>
    </row>
    <row r="31" spans="1:16" x14ac:dyDescent="0.25">
      <c r="A31" t="s">
        <v>274</v>
      </c>
      <c r="B31" t="s">
        <v>519</v>
      </c>
      <c r="C31" t="s">
        <v>520</v>
      </c>
      <c r="D31">
        <v>37000</v>
      </c>
      <c r="E31">
        <v>1080000</v>
      </c>
      <c r="F31" s="11">
        <v>1250600</v>
      </c>
      <c r="G31" s="11">
        <v>82.6</v>
      </c>
      <c r="H31" s="11">
        <v>88.8</v>
      </c>
      <c r="I31" s="11">
        <v>81.599999999999994</v>
      </c>
      <c r="J31" s="11">
        <v>86.1</v>
      </c>
      <c r="K31" s="11">
        <v>98.6</v>
      </c>
      <c r="L31" s="11">
        <v>1.1579629629629631</v>
      </c>
      <c r="M31" t="s">
        <v>672</v>
      </c>
      <c r="N31" s="11">
        <v>0.15</v>
      </c>
      <c r="O31" s="11">
        <v>5550</v>
      </c>
      <c r="P31" s="11">
        <v>42550</v>
      </c>
    </row>
    <row r="32" spans="1:16" x14ac:dyDescent="0.25">
      <c r="A32" t="s">
        <v>287</v>
      </c>
      <c r="B32" t="s">
        <v>521</v>
      </c>
      <c r="C32" t="s">
        <v>520</v>
      </c>
      <c r="D32">
        <v>38000</v>
      </c>
      <c r="E32">
        <v>890000</v>
      </c>
      <c r="F32" s="11">
        <v>985800</v>
      </c>
      <c r="G32" s="11">
        <v>94.2</v>
      </c>
      <c r="H32" s="11">
        <v>93.6</v>
      </c>
      <c r="I32" s="11">
        <v>99</v>
      </c>
      <c r="J32" s="11">
        <v>69.900000000000006</v>
      </c>
      <c r="K32" s="11">
        <v>98.4</v>
      </c>
      <c r="L32" s="11">
        <v>1.1076404494382019</v>
      </c>
      <c r="M32" t="s">
        <v>672</v>
      </c>
      <c r="N32" s="11">
        <v>0.15</v>
      </c>
      <c r="O32" s="11">
        <v>5700</v>
      </c>
      <c r="P32" s="11">
        <v>43700</v>
      </c>
    </row>
    <row r="33" spans="1:16" x14ac:dyDescent="0.25">
      <c r="A33" t="s">
        <v>364</v>
      </c>
      <c r="B33" t="s">
        <v>522</v>
      </c>
      <c r="C33" t="s">
        <v>520</v>
      </c>
      <c r="D33">
        <v>42000</v>
      </c>
      <c r="E33">
        <v>810000</v>
      </c>
      <c r="F33" s="11">
        <v>854900</v>
      </c>
      <c r="G33" s="11">
        <v>74.8</v>
      </c>
      <c r="H33" s="11">
        <v>86.4</v>
      </c>
      <c r="I33" s="11">
        <v>78</v>
      </c>
      <c r="J33" s="11">
        <v>72.3</v>
      </c>
      <c r="K33" s="11">
        <v>89.7</v>
      </c>
      <c r="L33" s="11">
        <v>1.055432098765432</v>
      </c>
      <c r="M33" t="s">
        <v>668</v>
      </c>
      <c r="N33" s="11">
        <v>0.1</v>
      </c>
      <c r="O33" s="11">
        <v>4200</v>
      </c>
      <c r="P33" s="11">
        <v>46200</v>
      </c>
    </row>
    <row r="34" spans="1:16" x14ac:dyDescent="0.25">
      <c r="A34" t="s">
        <v>83</v>
      </c>
      <c r="B34" t="s">
        <v>523</v>
      </c>
      <c r="C34" t="s">
        <v>520</v>
      </c>
      <c r="D34">
        <v>31000</v>
      </c>
      <c r="E34">
        <v>1300000</v>
      </c>
      <c r="F34" s="11">
        <v>1236200</v>
      </c>
      <c r="G34" s="11">
        <v>82.3</v>
      </c>
      <c r="H34" s="11">
        <v>98.5</v>
      </c>
      <c r="I34" s="11">
        <v>64.900000000000006</v>
      </c>
      <c r="J34" s="11">
        <v>91.3</v>
      </c>
      <c r="K34" s="11">
        <v>89.3</v>
      </c>
      <c r="L34" s="11">
        <v>0.95092307692307687</v>
      </c>
      <c r="M34" t="s">
        <v>671</v>
      </c>
      <c r="N34" s="11">
        <v>0.05</v>
      </c>
      <c r="O34" s="11">
        <v>1550</v>
      </c>
      <c r="P34" s="11">
        <v>32550</v>
      </c>
    </row>
    <row r="35" spans="1:16" x14ac:dyDescent="0.25">
      <c r="A35" t="s">
        <v>524</v>
      </c>
      <c r="B35" t="s">
        <v>525</v>
      </c>
      <c r="C35" t="s">
        <v>520</v>
      </c>
      <c r="D35">
        <v>37000</v>
      </c>
      <c r="E35">
        <v>1090000</v>
      </c>
      <c r="F35" s="11">
        <v>1087400</v>
      </c>
      <c r="G35" s="11">
        <v>91.3</v>
      </c>
      <c r="H35" s="11">
        <v>92.3</v>
      </c>
      <c r="I35" s="11">
        <v>66.7</v>
      </c>
      <c r="J35" s="11">
        <v>74.3</v>
      </c>
      <c r="K35" s="11">
        <v>90.2</v>
      </c>
      <c r="L35" s="11">
        <v>0.99761467889908262</v>
      </c>
      <c r="M35" t="s">
        <v>671</v>
      </c>
      <c r="N35" s="11">
        <v>0.05</v>
      </c>
      <c r="O35" s="11">
        <v>1850</v>
      </c>
      <c r="P35" s="11">
        <v>38850</v>
      </c>
    </row>
    <row r="36" spans="1:16" x14ac:dyDescent="0.25">
      <c r="A36" t="s">
        <v>207</v>
      </c>
      <c r="B36" t="s">
        <v>526</v>
      </c>
      <c r="C36" t="s">
        <v>520</v>
      </c>
      <c r="D36">
        <v>49500</v>
      </c>
      <c r="E36">
        <v>850000</v>
      </c>
      <c r="F36" s="11">
        <v>635400</v>
      </c>
      <c r="G36" s="11">
        <v>86.3</v>
      </c>
      <c r="H36" s="11">
        <v>99.9</v>
      </c>
      <c r="I36" s="11">
        <v>74.400000000000006</v>
      </c>
      <c r="J36" s="11">
        <v>89</v>
      </c>
      <c r="K36" s="11">
        <v>81.7</v>
      </c>
      <c r="L36" s="11">
        <v>0.74752941176470589</v>
      </c>
      <c r="M36" t="s">
        <v>669</v>
      </c>
      <c r="N36" s="11">
        <v>0</v>
      </c>
      <c r="O36" s="11">
        <v>0</v>
      </c>
      <c r="P36" s="11">
        <v>49500</v>
      </c>
    </row>
    <row r="37" spans="1:16" x14ac:dyDescent="0.25">
      <c r="A37" t="s">
        <v>223</v>
      </c>
      <c r="B37" t="s">
        <v>527</v>
      </c>
      <c r="C37" t="s">
        <v>520</v>
      </c>
      <c r="D37">
        <v>35000</v>
      </c>
      <c r="E37">
        <v>1070000</v>
      </c>
      <c r="F37" s="11">
        <v>755200</v>
      </c>
      <c r="G37" s="11">
        <v>83.6</v>
      </c>
      <c r="H37" s="11">
        <v>96.7</v>
      </c>
      <c r="I37" s="11">
        <v>65.5</v>
      </c>
      <c r="J37" s="11">
        <v>82.4</v>
      </c>
      <c r="K37" s="11">
        <v>77.099999999999994</v>
      </c>
      <c r="L37" s="11">
        <v>0.70579439252336451</v>
      </c>
      <c r="M37" t="s">
        <v>669</v>
      </c>
      <c r="N37" s="11">
        <v>0</v>
      </c>
      <c r="O37" s="11">
        <v>0</v>
      </c>
      <c r="P37" s="11">
        <v>35000</v>
      </c>
    </row>
    <row r="38" spans="1:16" x14ac:dyDescent="0.25">
      <c r="A38" t="s">
        <v>290</v>
      </c>
      <c r="B38" t="s">
        <v>528</v>
      </c>
      <c r="C38" t="s">
        <v>520</v>
      </c>
      <c r="D38">
        <v>31000</v>
      </c>
      <c r="E38">
        <v>1300000</v>
      </c>
      <c r="F38" s="11">
        <v>1441500</v>
      </c>
      <c r="G38" s="11">
        <v>55.6</v>
      </c>
      <c r="H38" s="11">
        <v>99.3</v>
      </c>
      <c r="I38" s="11">
        <v>83.5</v>
      </c>
      <c r="J38" s="11">
        <v>89.7</v>
      </c>
      <c r="K38" s="11">
        <v>92.8</v>
      </c>
      <c r="L38" s="11">
        <v>1.108846153846154</v>
      </c>
      <c r="M38" t="s">
        <v>672</v>
      </c>
      <c r="N38" s="11">
        <v>0.15</v>
      </c>
      <c r="O38" s="11">
        <v>4650</v>
      </c>
      <c r="P38" s="11">
        <v>35650</v>
      </c>
    </row>
    <row r="39" spans="1:16" x14ac:dyDescent="0.25">
      <c r="A39" t="s">
        <v>106</v>
      </c>
      <c r="B39" t="s">
        <v>529</v>
      </c>
      <c r="C39" t="s">
        <v>520</v>
      </c>
      <c r="D39">
        <v>41500</v>
      </c>
      <c r="E39">
        <v>1290000</v>
      </c>
      <c r="F39" s="11">
        <v>1168400</v>
      </c>
      <c r="G39" s="11">
        <v>66.5</v>
      </c>
      <c r="H39" s="11">
        <v>96.1</v>
      </c>
      <c r="I39" s="11">
        <v>79.2</v>
      </c>
      <c r="J39" s="11">
        <v>84.3</v>
      </c>
      <c r="K39" s="11">
        <v>84.2</v>
      </c>
      <c r="L39" s="11">
        <v>0.90573643410852711</v>
      </c>
      <c r="M39" t="s">
        <v>671</v>
      </c>
      <c r="N39" s="11">
        <v>0.05</v>
      </c>
      <c r="O39" s="11">
        <v>2075</v>
      </c>
      <c r="P39" s="11">
        <v>43575</v>
      </c>
    </row>
    <row r="40" spans="1:16" x14ac:dyDescent="0.25">
      <c r="A40" t="s">
        <v>530</v>
      </c>
      <c r="B40" t="s">
        <v>531</v>
      </c>
      <c r="C40" t="s">
        <v>520</v>
      </c>
      <c r="D40">
        <v>37000</v>
      </c>
      <c r="E40">
        <v>1220000</v>
      </c>
      <c r="F40" s="11">
        <v>1434400</v>
      </c>
      <c r="G40" s="11">
        <v>88.9</v>
      </c>
      <c r="H40" s="11">
        <v>100</v>
      </c>
      <c r="I40" s="11">
        <v>81.5</v>
      </c>
      <c r="J40" s="11">
        <v>78.5</v>
      </c>
      <c r="K40" s="11">
        <v>100</v>
      </c>
      <c r="L40" s="11">
        <v>1.1757377049180331</v>
      </c>
      <c r="M40" t="s">
        <v>672</v>
      </c>
      <c r="N40" s="11">
        <v>0.15</v>
      </c>
      <c r="O40" s="11">
        <v>5550</v>
      </c>
      <c r="P40" s="11">
        <v>42550</v>
      </c>
    </row>
    <row r="41" spans="1:16" x14ac:dyDescent="0.25">
      <c r="A41" t="s">
        <v>254</v>
      </c>
      <c r="B41" t="s">
        <v>532</v>
      </c>
      <c r="C41" t="s">
        <v>520</v>
      </c>
      <c r="D41">
        <v>33500</v>
      </c>
      <c r="E41">
        <v>1100000</v>
      </c>
      <c r="F41" s="11">
        <v>1040700</v>
      </c>
      <c r="G41" s="11">
        <v>85.7</v>
      </c>
      <c r="H41" s="11">
        <v>98.1</v>
      </c>
      <c r="I41" s="11">
        <v>65.3</v>
      </c>
      <c r="J41" s="11">
        <v>84.1</v>
      </c>
      <c r="K41" s="11">
        <v>88.7</v>
      </c>
      <c r="L41" s="11">
        <v>0.94609090909090909</v>
      </c>
      <c r="M41" t="s">
        <v>671</v>
      </c>
      <c r="N41" s="11">
        <v>0.05</v>
      </c>
      <c r="O41" s="11">
        <v>1675</v>
      </c>
      <c r="P41" s="11">
        <v>35175</v>
      </c>
    </row>
    <row r="42" spans="1:16" x14ac:dyDescent="0.25">
      <c r="A42" t="s">
        <v>189</v>
      </c>
      <c r="B42" t="s">
        <v>533</v>
      </c>
      <c r="C42" t="s">
        <v>520</v>
      </c>
      <c r="D42">
        <v>44000</v>
      </c>
      <c r="E42">
        <v>1260000</v>
      </c>
      <c r="F42" s="11">
        <v>1599800</v>
      </c>
      <c r="G42" s="11">
        <v>79.8</v>
      </c>
      <c r="H42" s="11">
        <v>97.7</v>
      </c>
      <c r="I42" s="11">
        <v>84.9</v>
      </c>
      <c r="J42" s="11">
        <v>91.6</v>
      </c>
      <c r="K42" s="11">
        <v>100</v>
      </c>
      <c r="L42" s="11">
        <v>1.26968253968254</v>
      </c>
      <c r="M42" t="s">
        <v>670</v>
      </c>
      <c r="N42" s="11">
        <v>0.2</v>
      </c>
      <c r="O42" s="11">
        <v>8800</v>
      </c>
      <c r="P42" s="11">
        <v>52800</v>
      </c>
    </row>
    <row r="43" spans="1:16" x14ac:dyDescent="0.25">
      <c r="A43" t="s">
        <v>41</v>
      </c>
      <c r="B43" t="s">
        <v>534</v>
      </c>
      <c r="C43" t="s">
        <v>535</v>
      </c>
      <c r="D43">
        <v>56000</v>
      </c>
      <c r="E43">
        <v>740000</v>
      </c>
      <c r="F43" s="11">
        <v>617300</v>
      </c>
      <c r="G43" s="11">
        <v>74.8</v>
      </c>
      <c r="H43" s="11">
        <v>94.1</v>
      </c>
      <c r="I43" s="11">
        <v>64.7</v>
      </c>
      <c r="J43" s="11">
        <v>81.8</v>
      </c>
      <c r="K43" s="11">
        <v>80.599999999999994</v>
      </c>
      <c r="L43" s="11">
        <v>0.83418918918918916</v>
      </c>
      <c r="M43" t="s">
        <v>669</v>
      </c>
      <c r="N43" s="11">
        <v>0</v>
      </c>
      <c r="O43" s="11">
        <v>0</v>
      </c>
      <c r="P43" s="11">
        <v>56000</v>
      </c>
    </row>
    <row r="44" spans="1:16" x14ac:dyDescent="0.25">
      <c r="A44" t="s">
        <v>367</v>
      </c>
      <c r="B44" t="s">
        <v>536</v>
      </c>
      <c r="C44" t="s">
        <v>535</v>
      </c>
      <c r="D44">
        <v>52000</v>
      </c>
      <c r="E44">
        <v>830000</v>
      </c>
      <c r="F44" s="11">
        <v>851200</v>
      </c>
      <c r="G44" s="11">
        <v>98.1</v>
      </c>
      <c r="H44" s="11">
        <v>95.6</v>
      </c>
      <c r="I44" s="11">
        <v>86.3</v>
      </c>
      <c r="J44" s="11">
        <v>93.3</v>
      </c>
      <c r="K44" s="11">
        <v>98</v>
      </c>
      <c r="L44" s="11">
        <v>1.0255421686746991</v>
      </c>
      <c r="M44" t="s">
        <v>668</v>
      </c>
      <c r="N44" s="11">
        <v>0.1</v>
      </c>
      <c r="O44" s="11">
        <v>5200</v>
      </c>
      <c r="P44" s="11">
        <v>57200</v>
      </c>
    </row>
    <row r="45" spans="1:16" x14ac:dyDescent="0.25">
      <c r="A45" t="s">
        <v>307</v>
      </c>
      <c r="B45" t="s">
        <v>537</v>
      </c>
      <c r="C45" t="s">
        <v>535</v>
      </c>
      <c r="D45">
        <v>60000</v>
      </c>
      <c r="E45">
        <v>920000</v>
      </c>
      <c r="F45" s="11">
        <v>741900</v>
      </c>
      <c r="G45" s="11">
        <v>80.5</v>
      </c>
      <c r="H45" s="11">
        <v>100</v>
      </c>
      <c r="I45" s="11">
        <v>79.2</v>
      </c>
      <c r="J45" s="11">
        <v>92.9</v>
      </c>
      <c r="K45" s="11">
        <v>84.2</v>
      </c>
      <c r="L45" s="11">
        <v>0.80641304347826082</v>
      </c>
      <c r="M45" t="s">
        <v>669</v>
      </c>
      <c r="N45" s="11">
        <v>0</v>
      </c>
      <c r="O45" s="11">
        <v>0</v>
      </c>
      <c r="P45" s="11">
        <v>60000</v>
      </c>
    </row>
    <row r="46" spans="1:16" x14ac:dyDescent="0.25">
      <c r="A46" t="s">
        <v>114</v>
      </c>
      <c r="B46" t="s">
        <v>538</v>
      </c>
      <c r="C46" t="s">
        <v>535</v>
      </c>
      <c r="D46">
        <v>51500</v>
      </c>
      <c r="E46">
        <v>670000</v>
      </c>
      <c r="F46" s="11">
        <v>772800</v>
      </c>
      <c r="G46" s="11">
        <v>68.7</v>
      </c>
      <c r="H46" s="11">
        <v>95.2</v>
      </c>
      <c r="I46" s="11">
        <v>81.5</v>
      </c>
      <c r="J46" s="11">
        <v>86.6</v>
      </c>
      <c r="K46" s="11">
        <v>96.3</v>
      </c>
      <c r="L46" s="11">
        <v>1.1534328358208961</v>
      </c>
      <c r="M46" t="s">
        <v>672</v>
      </c>
      <c r="N46" s="11">
        <v>0.15</v>
      </c>
      <c r="O46" s="11">
        <v>7725</v>
      </c>
      <c r="P46" s="11">
        <v>59225</v>
      </c>
    </row>
    <row r="47" spans="1:16" x14ac:dyDescent="0.25">
      <c r="A47" t="s">
        <v>130</v>
      </c>
      <c r="B47" t="s">
        <v>539</v>
      </c>
      <c r="C47" t="s">
        <v>535</v>
      </c>
      <c r="D47">
        <v>37500</v>
      </c>
      <c r="E47">
        <v>690000</v>
      </c>
      <c r="F47" s="11">
        <v>582500</v>
      </c>
      <c r="G47" s="11">
        <v>71.900000000000006</v>
      </c>
      <c r="H47" s="11">
        <v>92.1</v>
      </c>
      <c r="I47" s="11">
        <v>79</v>
      </c>
      <c r="J47" s="11">
        <v>93.5</v>
      </c>
      <c r="K47" s="11">
        <v>83.5</v>
      </c>
      <c r="L47" s="11">
        <v>0.84420289855072461</v>
      </c>
      <c r="M47" t="s">
        <v>669</v>
      </c>
      <c r="N47" s="11">
        <v>0</v>
      </c>
      <c r="O47" s="11">
        <v>0</v>
      </c>
      <c r="P47" s="11">
        <v>37500</v>
      </c>
    </row>
    <row r="48" spans="1:16" x14ac:dyDescent="0.25">
      <c r="A48" t="s">
        <v>141</v>
      </c>
      <c r="B48" t="s">
        <v>540</v>
      </c>
      <c r="C48" t="s">
        <v>535</v>
      </c>
      <c r="D48">
        <v>35500</v>
      </c>
      <c r="E48">
        <v>790000</v>
      </c>
      <c r="F48" s="11">
        <v>1032600</v>
      </c>
      <c r="G48" s="11">
        <v>94.6</v>
      </c>
      <c r="H48" s="11">
        <v>97.4</v>
      </c>
      <c r="I48" s="11">
        <v>70</v>
      </c>
      <c r="J48" s="11">
        <v>80.7</v>
      </c>
      <c r="K48" s="11">
        <v>100</v>
      </c>
      <c r="L48" s="11">
        <v>1.3070886075949371</v>
      </c>
      <c r="M48" t="s">
        <v>670</v>
      </c>
      <c r="N48" s="11">
        <v>0.2</v>
      </c>
      <c r="O48" s="11">
        <v>7100</v>
      </c>
      <c r="P48" s="11">
        <v>42600</v>
      </c>
    </row>
    <row r="49" spans="1:16" x14ac:dyDescent="0.25">
      <c r="A49" t="s">
        <v>181</v>
      </c>
      <c r="B49" t="s">
        <v>541</v>
      </c>
      <c r="C49" t="s">
        <v>535</v>
      </c>
      <c r="D49">
        <v>62500</v>
      </c>
      <c r="E49">
        <v>680000</v>
      </c>
      <c r="F49" s="11">
        <v>692100</v>
      </c>
      <c r="G49" s="11">
        <v>76.3</v>
      </c>
      <c r="H49" s="11">
        <v>96.3</v>
      </c>
      <c r="I49" s="11">
        <v>87.2</v>
      </c>
      <c r="J49" s="11">
        <v>88.3</v>
      </c>
      <c r="K49" s="11">
        <v>92.7</v>
      </c>
      <c r="L49" s="11">
        <v>1.0177941176470591</v>
      </c>
      <c r="M49" t="s">
        <v>668</v>
      </c>
      <c r="N49" s="11">
        <v>0.1</v>
      </c>
      <c r="O49" s="11">
        <v>6250</v>
      </c>
      <c r="P49" s="11">
        <v>68750</v>
      </c>
    </row>
    <row r="50" spans="1:16" x14ac:dyDescent="0.25">
      <c r="A50" t="s">
        <v>127</v>
      </c>
      <c r="B50" t="s">
        <v>542</v>
      </c>
      <c r="C50" t="s">
        <v>535</v>
      </c>
      <c r="D50">
        <v>45000</v>
      </c>
      <c r="E50">
        <v>670000</v>
      </c>
      <c r="F50" s="11">
        <v>780200</v>
      </c>
      <c r="G50" s="11">
        <v>73.900000000000006</v>
      </c>
      <c r="H50" s="11">
        <v>97.7</v>
      </c>
      <c r="I50" s="11">
        <v>73</v>
      </c>
      <c r="J50" s="11">
        <v>76.5</v>
      </c>
      <c r="K50" s="11">
        <v>95.7</v>
      </c>
      <c r="L50" s="11">
        <v>1.164477611940298</v>
      </c>
      <c r="M50" t="s">
        <v>672</v>
      </c>
      <c r="N50" s="11">
        <v>0.15</v>
      </c>
      <c r="O50" s="11">
        <v>6750</v>
      </c>
      <c r="P50" s="11">
        <v>51750</v>
      </c>
    </row>
    <row r="51" spans="1:16" x14ac:dyDescent="0.25">
      <c r="A51" t="s">
        <v>345</v>
      </c>
      <c r="B51" t="s">
        <v>543</v>
      </c>
      <c r="C51" t="s">
        <v>535</v>
      </c>
      <c r="D51">
        <v>37000</v>
      </c>
      <c r="E51">
        <v>660000</v>
      </c>
      <c r="F51" s="11">
        <v>710000</v>
      </c>
      <c r="G51" s="11">
        <v>92.9</v>
      </c>
      <c r="H51" s="11">
        <v>96</v>
      </c>
      <c r="I51" s="11">
        <v>80.2</v>
      </c>
      <c r="J51" s="11">
        <v>86.5</v>
      </c>
      <c r="K51" s="11">
        <v>97.6</v>
      </c>
      <c r="L51" s="11">
        <v>1.0757575757575759</v>
      </c>
      <c r="M51" t="s">
        <v>668</v>
      </c>
      <c r="N51" s="11">
        <v>0.1</v>
      </c>
      <c r="O51" s="11">
        <v>3700</v>
      </c>
      <c r="P51" s="11">
        <v>40700</v>
      </c>
    </row>
    <row r="52" spans="1:16" x14ac:dyDescent="0.25">
      <c r="A52" t="s">
        <v>544</v>
      </c>
      <c r="B52" t="s">
        <v>545</v>
      </c>
      <c r="C52" t="s">
        <v>535</v>
      </c>
      <c r="D52">
        <v>62500</v>
      </c>
      <c r="E52">
        <v>910000</v>
      </c>
      <c r="F52" s="11">
        <v>914100</v>
      </c>
      <c r="G52" s="11">
        <v>71.900000000000006</v>
      </c>
      <c r="H52" s="11">
        <v>89</v>
      </c>
      <c r="I52" s="11">
        <v>79.2</v>
      </c>
      <c r="J52" s="11">
        <v>84.6</v>
      </c>
      <c r="K52" s="11">
        <v>89.1</v>
      </c>
      <c r="L52" s="11">
        <v>1.004505494505495</v>
      </c>
      <c r="M52" t="s">
        <v>668</v>
      </c>
      <c r="N52" s="11">
        <v>0.1</v>
      </c>
      <c r="O52" s="11">
        <v>6250</v>
      </c>
      <c r="P52" s="11">
        <v>68750</v>
      </c>
    </row>
    <row r="53" spans="1:16" x14ac:dyDescent="0.25">
      <c r="A53" t="s">
        <v>154</v>
      </c>
      <c r="B53" t="s">
        <v>546</v>
      </c>
      <c r="C53" t="s">
        <v>547</v>
      </c>
      <c r="D53">
        <v>44500</v>
      </c>
      <c r="E53">
        <v>840000</v>
      </c>
      <c r="F53" s="11">
        <v>824900</v>
      </c>
      <c r="G53" s="11">
        <v>88.1</v>
      </c>
      <c r="H53" s="11">
        <v>93.1</v>
      </c>
      <c r="I53" s="11">
        <v>85.6</v>
      </c>
      <c r="J53" s="11">
        <v>82.8</v>
      </c>
      <c r="K53" s="11">
        <v>92.1</v>
      </c>
      <c r="L53" s="11">
        <v>0.98202380952380952</v>
      </c>
      <c r="M53" t="s">
        <v>671</v>
      </c>
      <c r="N53" s="11">
        <v>0.05</v>
      </c>
      <c r="O53" s="11">
        <v>2225</v>
      </c>
      <c r="P53" s="11">
        <v>46725</v>
      </c>
    </row>
    <row r="54" spans="1:16" x14ac:dyDescent="0.25">
      <c r="A54" t="s">
        <v>548</v>
      </c>
      <c r="B54" t="s">
        <v>549</v>
      </c>
      <c r="C54" t="s">
        <v>547</v>
      </c>
      <c r="D54">
        <v>41500</v>
      </c>
      <c r="E54">
        <v>730000</v>
      </c>
      <c r="F54" s="11">
        <v>955000</v>
      </c>
      <c r="G54" s="11">
        <v>82.7</v>
      </c>
      <c r="H54" s="11">
        <v>100</v>
      </c>
      <c r="I54" s="11">
        <v>83.5</v>
      </c>
      <c r="J54" s="11">
        <v>82.3</v>
      </c>
      <c r="K54" s="11">
        <v>100</v>
      </c>
      <c r="L54" s="11">
        <v>1.3082191780821919</v>
      </c>
      <c r="M54" t="s">
        <v>670</v>
      </c>
      <c r="N54" s="11">
        <v>0.2</v>
      </c>
      <c r="O54" s="11">
        <v>8300</v>
      </c>
      <c r="P54" s="11">
        <v>49800</v>
      </c>
    </row>
    <row r="55" spans="1:16" x14ac:dyDescent="0.25">
      <c r="A55" t="s">
        <v>550</v>
      </c>
      <c r="B55" t="s">
        <v>551</v>
      </c>
      <c r="C55" t="s">
        <v>547</v>
      </c>
      <c r="D55">
        <v>30000</v>
      </c>
      <c r="E55">
        <v>610000</v>
      </c>
      <c r="F55" s="11">
        <v>499000</v>
      </c>
      <c r="G55" s="11">
        <v>69</v>
      </c>
      <c r="H55" s="11">
        <v>90</v>
      </c>
      <c r="I55" s="11">
        <v>71.2</v>
      </c>
      <c r="J55" s="11">
        <v>87.2</v>
      </c>
      <c r="K55" s="11">
        <v>79.8</v>
      </c>
      <c r="L55" s="11">
        <v>0.81803278688524594</v>
      </c>
      <c r="M55" t="s">
        <v>669</v>
      </c>
      <c r="N55" s="11">
        <v>0</v>
      </c>
      <c r="O55" s="11">
        <v>0</v>
      </c>
      <c r="P55" s="11">
        <v>30000</v>
      </c>
    </row>
    <row r="56" spans="1:16" x14ac:dyDescent="0.25">
      <c r="A56" t="s">
        <v>233</v>
      </c>
      <c r="B56" t="s">
        <v>552</v>
      </c>
      <c r="C56" t="s">
        <v>547</v>
      </c>
      <c r="D56">
        <v>46500</v>
      </c>
      <c r="E56">
        <v>760000</v>
      </c>
      <c r="F56" s="11">
        <v>672800</v>
      </c>
      <c r="G56" s="11">
        <v>83.7</v>
      </c>
      <c r="H56" s="11">
        <v>99.1</v>
      </c>
      <c r="I56" s="11">
        <v>79.099999999999994</v>
      </c>
      <c r="J56" s="11">
        <v>99</v>
      </c>
      <c r="K56" s="11">
        <v>89.2</v>
      </c>
      <c r="L56" s="11">
        <v>0.88526315789473686</v>
      </c>
      <c r="M56" t="s">
        <v>669</v>
      </c>
      <c r="N56" s="11">
        <v>0</v>
      </c>
      <c r="O56" s="11">
        <v>0</v>
      </c>
      <c r="P56" s="11">
        <v>46500</v>
      </c>
    </row>
    <row r="57" spans="1:16" x14ac:dyDescent="0.25">
      <c r="A57" t="s">
        <v>139</v>
      </c>
      <c r="B57" t="s">
        <v>553</v>
      </c>
      <c r="C57" t="s">
        <v>547</v>
      </c>
      <c r="D57">
        <v>43000</v>
      </c>
      <c r="E57">
        <v>840000</v>
      </c>
      <c r="F57" s="11">
        <v>645400</v>
      </c>
      <c r="G57" s="11">
        <v>80.599999999999994</v>
      </c>
      <c r="H57" s="11">
        <v>91.8</v>
      </c>
      <c r="I57" s="11">
        <v>89.4</v>
      </c>
      <c r="J57" s="11">
        <v>66.099999999999994</v>
      </c>
      <c r="K57" s="11">
        <v>78.7</v>
      </c>
      <c r="L57" s="11">
        <v>0.76833333333333331</v>
      </c>
      <c r="M57" t="s">
        <v>669</v>
      </c>
      <c r="N57" s="11">
        <v>0</v>
      </c>
      <c r="O57" s="11">
        <v>0</v>
      </c>
      <c r="P57" s="11">
        <v>43000</v>
      </c>
    </row>
    <row r="58" spans="1:16" x14ac:dyDescent="0.25">
      <c r="A58" t="s">
        <v>213</v>
      </c>
      <c r="B58" t="s">
        <v>554</v>
      </c>
      <c r="C58" t="s">
        <v>547</v>
      </c>
      <c r="D58">
        <v>34000</v>
      </c>
      <c r="E58">
        <v>750000</v>
      </c>
      <c r="F58" s="11">
        <v>540200</v>
      </c>
      <c r="G58" s="11">
        <v>81</v>
      </c>
      <c r="H58" s="11">
        <v>100</v>
      </c>
      <c r="I58" s="11">
        <v>82.3</v>
      </c>
      <c r="J58" s="11">
        <v>73.2</v>
      </c>
      <c r="K58" s="11">
        <v>77.8</v>
      </c>
      <c r="L58" s="11">
        <v>0.72026666666666672</v>
      </c>
      <c r="M58" t="s">
        <v>669</v>
      </c>
      <c r="N58" s="11">
        <v>0</v>
      </c>
      <c r="O58" s="11">
        <v>0</v>
      </c>
      <c r="P58" s="11">
        <v>34000</v>
      </c>
    </row>
    <row r="59" spans="1:16" x14ac:dyDescent="0.25">
      <c r="A59" t="s">
        <v>278</v>
      </c>
      <c r="B59" t="s">
        <v>555</v>
      </c>
      <c r="C59" t="s">
        <v>547</v>
      </c>
      <c r="D59">
        <v>41000</v>
      </c>
      <c r="E59">
        <v>830000</v>
      </c>
      <c r="F59" s="11">
        <v>634500</v>
      </c>
      <c r="G59" s="11">
        <v>97.1</v>
      </c>
      <c r="H59" s="11">
        <v>91.5</v>
      </c>
      <c r="I59" s="11">
        <v>70.599999999999994</v>
      </c>
      <c r="J59" s="11">
        <v>95.8</v>
      </c>
      <c r="K59" s="11">
        <v>84.4</v>
      </c>
      <c r="L59" s="11">
        <v>0.76445783132530121</v>
      </c>
      <c r="M59" t="s">
        <v>669</v>
      </c>
      <c r="N59" s="11">
        <v>0</v>
      </c>
      <c r="O59" s="11">
        <v>0</v>
      </c>
      <c r="P59" s="11">
        <v>41000</v>
      </c>
    </row>
    <row r="60" spans="1:16" x14ac:dyDescent="0.25">
      <c r="A60" t="s">
        <v>334</v>
      </c>
      <c r="B60" t="s">
        <v>556</v>
      </c>
      <c r="C60" t="s">
        <v>547</v>
      </c>
      <c r="D60">
        <v>32000</v>
      </c>
      <c r="E60">
        <v>710000</v>
      </c>
      <c r="F60" s="11">
        <v>825000</v>
      </c>
      <c r="G60" s="11">
        <v>93.5</v>
      </c>
      <c r="H60" s="11">
        <v>90.2</v>
      </c>
      <c r="I60" s="11">
        <v>64.7</v>
      </c>
      <c r="J60" s="11">
        <v>85.1</v>
      </c>
      <c r="K60" s="11">
        <v>99.2</v>
      </c>
      <c r="L60" s="11">
        <v>1.1619718309859151</v>
      </c>
      <c r="M60" t="s">
        <v>672</v>
      </c>
      <c r="N60" s="11">
        <v>0.15</v>
      </c>
      <c r="O60" s="11">
        <v>4800</v>
      </c>
      <c r="P60" s="11">
        <v>36800</v>
      </c>
    </row>
    <row r="61" spans="1:16" x14ac:dyDescent="0.25">
      <c r="A61" t="s">
        <v>135</v>
      </c>
      <c r="B61" t="s">
        <v>557</v>
      </c>
      <c r="C61" t="s">
        <v>478</v>
      </c>
      <c r="D61">
        <v>37500</v>
      </c>
      <c r="E61">
        <v>910000</v>
      </c>
      <c r="F61" s="11">
        <v>946700</v>
      </c>
      <c r="G61" s="11">
        <v>85.3</v>
      </c>
      <c r="H61" s="11">
        <v>99.9</v>
      </c>
      <c r="I61" s="11">
        <v>62.7</v>
      </c>
      <c r="J61" s="11">
        <v>90.9</v>
      </c>
      <c r="K61" s="11">
        <v>93.8</v>
      </c>
      <c r="L61" s="11">
        <v>1.0403296703296701</v>
      </c>
      <c r="M61" t="s">
        <v>668</v>
      </c>
      <c r="N61" s="11">
        <v>0.1</v>
      </c>
      <c r="O61" s="11">
        <v>3750</v>
      </c>
      <c r="P61" s="11">
        <v>41250</v>
      </c>
    </row>
    <row r="62" spans="1:16" x14ac:dyDescent="0.25">
      <c r="A62" t="s">
        <v>170</v>
      </c>
      <c r="B62" t="s">
        <v>558</v>
      </c>
      <c r="C62" t="s">
        <v>478</v>
      </c>
      <c r="D62">
        <v>32500</v>
      </c>
      <c r="E62">
        <v>910000</v>
      </c>
      <c r="F62" s="11">
        <v>712200</v>
      </c>
      <c r="G62" s="11">
        <v>89.7</v>
      </c>
      <c r="H62" s="11">
        <v>92.1</v>
      </c>
      <c r="I62" s="11">
        <v>71.900000000000006</v>
      </c>
      <c r="J62" s="11">
        <v>79.099999999999994</v>
      </c>
      <c r="K62" s="11">
        <v>81.400000000000006</v>
      </c>
      <c r="L62" s="11">
        <v>0.78263736263736261</v>
      </c>
      <c r="M62" t="s">
        <v>669</v>
      </c>
      <c r="N62" s="11">
        <v>0</v>
      </c>
      <c r="O62" s="11">
        <v>0</v>
      </c>
      <c r="P62" s="11">
        <v>32500</v>
      </c>
    </row>
    <row r="63" spans="1:16" x14ac:dyDescent="0.25">
      <c r="A63" t="s">
        <v>230</v>
      </c>
      <c r="B63" t="s">
        <v>559</v>
      </c>
      <c r="C63" t="s">
        <v>478</v>
      </c>
      <c r="D63">
        <v>49000</v>
      </c>
      <c r="E63">
        <v>790000</v>
      </c>
      <c r="F63" s="11">
        <v>568600</v>
      </c>
      <c r="G63" s="11">
        <v>82.4</v>
      </c>
      <c r="H63" s="11">
        <v>90.9</v>
      </c>
      <c r="I63" s="11">
        <v>87.9</v>
      </c>
      <c r="J63" s="11">
        <v>89.1</v>
      </c>
      <c r="K63" s="11">
        <v>80.099999999999994</v>
      </c>
      <c r="L63" s="11">
        <v>0.71974683544303797</v>
      </c>
      <c r="M63" t="s">
        <v>669</v>
      </c>
      <c r="N63" s="11">
        <v>0</v>
      </c>
      <c r="O63" s="11">
        <v>0</v>
      </c>
      <c r="P63" s="11">
        <v>49000</v>
      </c>
    </row>
    <row r="64" spans="1:16" x14ac:dyDescent="0.25">
      <c r="A64" t="s">
        <v>560</v>
      </c>
      <c r="B64" t="s">
        <v>561</v>
      </c>
      <c r="C64" t="s">
        <v>478</v>
      </c>
      <c r="D64">
        <v>30500</v>
      </c>
      <c r="E64">
        <v>860000</v>
      </c>
      <c r="F64" s="11">
        <v>1104100</v>
      </c>
      <c r="G64" s="11">
        <v>85.3</v>
      </c>
      <c r="H64" s="11">
        <v>96.1</v>
      </c>
      <c r="I64" s="11">
        <v>94</v>
      </c>
      <c r="J64" s="11">
        <v>79</v>
      </c>
      <c r="K64" s="11">
        <v>100</v>
      </c>
      <c r="L64" s="11">
        <v>1.283837209302326</v>
      </c>
      <c r="M64" t="s">
        <v>670</v>
      </c>
      <c r="N64" s="11">
        <v>0.2</v>
      </c>
      <c r="O64" s="11">
        <v>6100</v>
      </c>
      <c r="P64" s="11">
        <v>36600</v>
      </c>
    </row>
    <row r="65" spans="1:16" x14ac:dyDescent="0.25">
      <c r="A65" t="s">
        <v>201</v>
      </c>
      <c r="B65" t="s">
        <v>562</v>
      </c>
      <c r="C65" t="s">
        <v>478</v>
      </c>
      <c r="D65">
        <v>34500</v>
      </c>
      <c r="E65">
        <v>850000</v>
      </c>
      <c r="F65" s="11">
        <v>605300</v>
      </c>
      <c r="G65" s="11">
        <v>83.8</v>
      </c>
      <c r="H65" s="11">
        <v>88.3</v>
      </c>
      <c r="I65" s="11">
        <v>99</v>
      </c>
      <c r="J65" s="11">
        <v>95.6</v>
      </c>
      <c r="K65" s="11">
        <v>81.900000000000006</v>
      </c>
      <c r="L65" s="11">
        <v>0.71211764705882352</v>
      </c>
      <c r="M65" t="s">
        <v>669</v>
      </c>
      <c r="N65" s="11">
        <v>0</v>
      </c>
      <c r="O65" s="11">
        <v>0</v>
      </c>
      <c r="P65" s="11">
        <v>34500</v>
      </c>
    </row>
    <row r="66" spans="1:16" x14ac:dyDescent="0.25">
      <c r="A66" t="s">
        <v>205</v>
      </c>
      <c r="B66" t="s">
        <v>563</v>
      </c>
      <c r="C66" t="s">
        <v>478</v>
      </c>
      <c r="D66">
        <v>33000</v>
      </c>
      <c r="E66">
        <v>910000</v>
      </c>
      <c r="F66" s="11">
        <v>1246300</v>
      </c>
      <c r="G66" s="11">
        <v>82.6</v>
      </c>
      <c r="H66" s="11">
        <v>96.2</v>
      </c>
      <c r="I66" s="11">
        <v>75.400000000000006</v>
      </c>
      <c r="J66" s="11">
        <v>91.1</v>
      </c>
      <c r="K66" s="11">
        <v>100</v>
      </c>
      <c r="L66" s="11">
        <v>1.369560439560439</v>
      </c>
      <c r="M66" t="s">
        <v>670</v>
      </c>
      <c r="N66" s="11">
        <v>0.2</v>
      </c>
      <c r="O66" s="11">
        <v>6600</v>
      </c>
      <c r="P66" s="11">
        <v>39600</v>
      </c>
    </row>
    <row r="67" spans="1:16" x14ac:dyDescent="0.25">
      <c r="A67" t="s">
        <v>564</v>
      </c>
      <c r="B67" t="s">
        <v>565</v>
      </c>
      <c r="C67" t="s">
        <v>478</v>
      </c>
      <c r="D67">
        <v>37000</v>
      </c>
      <c r="E67">
        <v>760000</v>
      </c>
      <c r="F67" s="11">
        <v>578500</v>
      </c>
      <c r="G67" s="11">
        <v>59.1</v>
      </c>
      <c r="H67" s="11">
        <v>90.8</v>
      </c>
      <c r="I67" s="11">
        <v>65.400000000000006</v>
      </c>
      <c r="J67" s="11">
        <v>95.8</v>
      </c>
      <c r="K67" s="11">
        <v>76.099999999999994</v>
      </c>
      <c r="L67" s="11">
        <v>0.7611842105263158</v>
      </c>
      <c r="M67" t="s">
        <v>669</v>
      </c>
      <c r="N67" s="11">
        <v>0</v>
      </c>
      <c r="O67" s="11">
        <v>0</v>
      </c>
      <c r="P67" s="11">
        <v>37000</v>
      </c>
    </row>
    <row r="68" spans="1:16" x14ac:dyDescent="0.25">
      <c r="A68" t="s">
        <v>119</v>
      </c>
      <c r="B68" t="s">
        <v>566</v>
      </c>
      <c r="C68" t="s">
        <v>478</v>
      </c>
      <c r="D68">
        <v>47500</v>
      </c>
      <c r="E68">
        <v>680000</v>
      </c>
      <c r="F68" s="11">
        <v>888600</v>
      </c>
      <c r="G68" s="11">
        <v>69.400000000000006</v>
      </c>
      <c r="H68" s="11">
        <v>99.2</v>
      </c>
      <c r="I68" s="11">
        <v>89.5</v>
      </c>
      <c r="J68" s="11">
        <v>71.400000000000006</v>
      </c>
      <c r="K68" s="11">
        <v>100</v>
      </c>
      <c r="L68" s="11">
        <v>1.3067647058823531</v>
      </c>
      <c r="M68" t="s">
        <v>670</v>
      </c>
      <c r="N68" s="11">
        <v>0.2</v>
      </c>
      <c r="O68" s="11">
        <v>9500</v>
      </c>
      <c r="P68" s="11">
        <v>57000</v>
      </c>
    </row>
    <row r="69" spans="1:16" x14ac:dyDescent="0.25">
      <c r="A69" t="s">
        <v>191</v>
      </c>
      <c r="B69" t="s">
        <v>567</v>
      </c>
      <c r="C69" t="s">
        <v>478</v>
      </c>
      <c r="D69">
        <v>43500</v>
      </c>
      <c r="E69">
        <v>910000</v>
      </c>
      <c r="F69" s="11">
        <v>827900</v>
      </c>
      <c r="G69" s="11">
        <v>76.8</v>
      </c>
      <c r="H69" s="11">
        <v>97</v>
      </c>
      <c r="I69" s="11">
        <v>67.7</v>
      </c>
      <c r="J69" s="11">
        <v>83.2</v>
      </c>
      <c r="K69" s="11">
        <v>85.3</v>
      </c>
      <c r="L69" s="11">
        <v>0.90978021978021983</v>
      </c>
      <c r="M69" t="s">
        <v>671</v>
      </c>
      <c r="N69" s="11">
        <v>0.05</v>
      </c>
      <c r="O69" s="11">
        <v>2175</v>
      </c>
      <c r="P69" s="11">
        <v>45675</v>
      </c>
    </row>
    <row r="70" spans="1:16" x14ac:dyDescent="0.25">
      <c r="A70" t="s">
        <v>239</v>
      </c>
      <c r="B70" t="s">
        <v>568</v>
      </c>
      <c r="C70" t="s">
        <v>478</v>
      </c>
      <c r="D70">
        <v>39000</v>
      </c>
      <c r="E70">
        <v>740000</v>
      </c>
      <c r="F70" s="11">
        <v>633800</v>
      </c>
      <c r="G70" s="11">
        <v>86.3</v>
      </c>
      <c r="H70" s="11">
        <v>93.1</v>
      </c>
      <c r="I70" s="11">
        <v>74.599999999999994</v>
      </c>
      <c r="J70" s="11">
        <v>82.3</v>
      </c>
      <c r="K70" s="11">
        <v>84.9</v>
      </c>
      <c r="L70" s="11">
        <v>0.85648648648648651</v>
      </c>
      <c r="M70" t="s">
        <v>669</v>
      </c>
      <c r="N70" s="11">
        <v>0</v>
      </c>
      <c r="O70" s="11">
        <v>0</v>
      </c>
      <c r="P70" s="11">
        <v>39000</v>
      </c>
    </row>
    <row r="71" spans="1:16" x14ac:dyDescent="0.25">
      <c r="A71" t="s">
        <v>31</v>
      </c>
      <c r="B71" t="s">
        <v>569</v>
      </c>
      <c r="C71" t="s">
        <v>478</v>
      </c>
      <c r="D71">
        <v>44000</v>
      </c>
      <c r="E71">
        <v>770000</v>
      </c>
      <c r="F71" s="11">
        <v>1036800</v>
      </c>
      <c r="G71" s="11">
        <v>78.2</v>
      </c>
      <c r="H71" s="11">
        <v>89.8</v>
      </c>
      <c r="I71" s="11">
        <v>85.8</v>
      </c>
      <c r="J71" s="11">
        <v>82.9</v>
      </c>
      <c r="K71" s="11">
        <v>100</v>
      </c>
      <c r="L71" s="11">
        <v>1.346493506493506</v>
      </c>
      <c r="M71" t="s">
        <v>670</v>
      </c>
      <c r="N71" s="11">
        <v>0.2</v>
      </c>
      <c r="O71" s="11">
        <v>8800</v>
      </c>
      <c r="P71" s="11">
        <v>52800</v>
      </c>
    </row>
    <row r="72" spans="1:16" x14ac:dyDescent="0.25">
      <c r="A72" t="s">
        <v>177</v>
      </c>
      <c r="B72" t="s">
        <v>570</v>
      </c>
      <c r="C72" t="s">
        <v>478</v>
      </c>
      <c r="D72">
        <v>44500</v>
      </c>
      <c r="E72">
        <v>670000</v>
      </c>
      <c r="F72" s="11">
        <v>485900</v>
      </c>
      <c r="G72" s="11">
        <v>99</v>
      </c>
      <c r="H72" s="11">
        <v>92.6</v>
      </c>
      <c r="I72" s="11">
        <v>76.2</v>
      </c>
      <c r="J72" s="11">
        <v>85.3</v>
      </c>
      <c r="K72" s="11">
        <v>82.1</v>
      </c>
      <c r="L72" s="11">
        <v>0.72522388059701492</v>
      </c>
      <c r="M72" t="s">
        <v>669</v>
      </c>
      <c r="N72" s="11">
        <v>0</v>
      </c>
      <c r="O72" s="11">
        <v>0</v>
      </c>
      <c r="P72" s="11">
        <v>44500</v>
      </c>
    </row>
    <row r="73" spans="1:16" x14ac:dyDescent="0.25">
      <c r="A73" t="s">
        <v>281</v>
      </c>
      <c r="B73" t="s">
        <v>571</v>
      </c>
      <c r="C73" t="s">
        <v>478</v>
      </c>
      <c r="D73">
        <v>44500</v>
      </c>
      <c r="E73">
        <v>990000</v>
      </c>
      <c r="F73" s="11">
        <v>1278500</v>
      </c>
      <c r="G73" s="11">
        <v>66.900000000000006</v>
      </c>
      <c r="H73" s="11">
        <v>95.1</v>
      </c>
      <c r="I73" s="11">
        <v>99</v>
      </c>
      <c r="J73" s="11">
        <v>85</v>
      </c>
      <c r="K73" s="11">
        <v>100</v>
      </c>
      <c r="L73" s="11">
        <v>1.2914141414141409</v>
      </c>
      <c r="M73" t="s">
        <v>670</v>
      </c>
      <c r="N73" s="11">
        <v>0.2</v>
      </c>
      <c r="O73" s="11">
        <v>8900</v>
      </c>
      <c r="P73" s="11">
        <v>53400</v>
      </c>
    </row>
    <row r="74" spans="1:16" x14ac:dyDescent="0.25">
      <c r="A74" t="s">
        <v>572</v>
      </c>
      <c r="B74" t="s">
        <v>573</v>
      </c>
      <c r="C74" t="s">
        <v>478</v>
      </c>
      <c r="D74">
        <v>40000</v>
      </c>
      <c r="E74">
        <v>780000</v>
      </c>
      <c r="F74" s="11">
        <v>591000</v>
      </c>
      <c r="G74" s="11">
        <v>76.400000000000006</v>
      </c>
      <c r="H74" s="11">
        <v>94.8</v>
      </c>
      <c r="I74" s="11">
        <v>93.3</v>
      </c>
      <c r="J74" s="11">
        <v>81.3</v>
      </c>
      <c r="K74" s="11">
        <v>80.400000000000006</v>
      </c>
      <c r="L74" s="11">
        <v>0.75769230769230766</v>
      </c>
      <c r="M74" t="s">
        <v>669</v>
      </c>
      <c r="N74" s="11">
        <v>0</v>
      </c>
      <c r="O74" s="11">
        <v>0</v>
      </c>
      <c r="P74" s="11">
        <v>40000</v>
      </c>
    </row>
    <row r="75" spans="1:16" x14ac:dyDescent="0.25">
      <c r="A75" t="s">
        <v>104</v>
      </c>
      <c r="B75" t="s">
        <v>574</v>
      </c>
      <c r="C75" t="s">
        <v>478</v>
      </c>
      <c r="D75">
        <v>37500</v>
      </c>
      <c r="E75">
        <v>940000</v>
      </c>
      <c r="F75" s="11">
        <v>1061100</v>
      </c>
      <c r="G75" s="11">
        <v>69.099999999999994</v>
      </c>
      <c r="H75" s="11">
        <v>88.2</v>
      </c>
      <c r="I75" s="11">
        <v>75.2</v>
      </c>
      <c r="J75" s="11">
        <v>95.5</v>
      </c>
      <c r="K75" s="11">
        <v>95.3</v>
      </c>
      <c r="L75" s="11">
        <v>1.128829787234042</v>
      </c>
      <c r="M75" t="s">
        <v>672</v>
      </c>
      <c r="N75" s="11">
        <v>0.15</v>
      </c>
      <c r="O75" s="11">
        <v>5625</v>
      </c>
      <c r="P75" s="11">
        <v>43125</v>
      </c>
    </row>
    <row r="76" spans="1:16" x14ac:dyDescent="0.25">
      <c r="A76" t="s">
        <v>124</v>
      </c>
      <c r="B76" t="s">
        <v>575</v>
      </c>
      <c r="C76" t="s">
        <v>478</v>
      </c>
      <c r="D76">
        <v>43000</v>
      </c>
      <c r="E76">
        <v>890000</v>
      </c>
      <c r="F76" s="11">
        <v>883200</v>
      </c>
      <c r="G76" s="11">
        <v>84.6</v>
      </c>
      <c r="H76" s="11">
        <v>95.1</v>
      </c>
      <c r="I76" s="11">
        <v>91.1</v>
      </c>
      <c r="J76" s="11">
        <v>79.099999999999994</v>
      </c>
      <c r="K76" s="11">
        <v>92.1</v>
      </c>
      <c r="L76" s="11">
        <v>0.9923595505617977</v>
      </c>
      <c r="M76" t="s">
        <v>671</v>
      </c>
      <c r="N76" s="11">
        <v>0.05</v>
      </c>
      <c r="O76" s="11">
        <v>2150</v>
      </c>
      <c r="P76" s="11">
        <v>45150</v>
      </c>
    </row>
    <row r="77" spans="1:16" x14ac:dyDescent="0.25">
      <c r="A77" t="s">
        <v>322</v>
      </c>
      <c r="B77" t="s">
        <v>576</v>
      </c>
      <c r="C77" t="s">
        <v>478</v>
      </c>
      <c r="D77">
        <v>39000</v>
      </c>
      <c r="E77">
        <v>930000</v>
      </c>
      <c r="F77" s="11">
        <v>1026600</v>
      </c>
      <c r="G77" s="11">
        <v>74.5</v>
      </c>
      <c r="H77" s="11">
        <v>100</v>
      </c>
      <c r="I77" s="11">
        <v>72</v>
      </c>
      <c r="J77" s="11">
        <v>76.900000000000006</v>
      </c>
      <c r="K77" s="11">
        <v>93.3</v>
      </c>
      <c r="L77" s="11">
        <v>1.1038709677419349</v>
      </c>
      <c r="M77" t="s">
        <v>672</v>
      </c>
      <c r="N77" s="11">
        <v>0.15</v>
      </c>
      <c r="O77" s="11">
        <v>5850</v>
      </c>
      <c r="P77" s="11">
        <v>44850</v>
      </c>
    </row>
    <row r="78" spans="1:16" x14ac:dyDescent="0.25">
      <c r="A78" t="s">
        <v>132</v>
      </c>
      <c r="B78" t="s">
        <v>577</v>
      </c>
      <c r="C78" t="s">
        <v>478</v>
      </c>
      <c r="D78">
        <v>36000</v>
      </c>
      <c r="E78">
        <v>760000</v>
      </c>
      <c r="F78" s="11">
        <v>820000</v>
      </c>
      <c r="G78" s="11">
        <v>82.7</v>
      </c>
      <c r="H78" s="11">
        <v>95.3</v>
      </c>
      <c r="I78" s="11">
        <v>82.3</v>
      </c>
      <c r="J78" s="11">
        <v>75.3</v>
      </c>
      <c r="K78" s="11">
        <v>94.1</v>
      </c>
      <c r="L78" s="11">
        <v>1.0789473684210531</v>
      </c>
      <c r="M78" t="s">
        <v>668</v>
      </c>
      <c r="N78" s="11">
        <v>0.1</v>
      </c>
      <c r="O78" s="11">
        <v>3600</v>
      </c>
      <c r="P78" s="11">
        <v>39600</v>
      </c>
    </row>
    <row r="79" spans="1:16" x14ac:dyDescent="0.25">
      <c r="A79" t="s">
        <v>173</v>
      </c>
      <c r="B79" t="s">
        <v>578</v>
      </c>
      <c r="C79" t="s">
        <v>579</v>
      </c>
      <c r="D79">
        <v>31500</v>
      </c>
      <c r="E79">
        <v>570000</v>
      </c>
      <c r="F79" s="11">
        <v>724100</v>
      </c>
      <c r="G79" s="11">
        <v>90</v>
      </c>
      <c r="H79" s="11">
        <v>99.4</v>
      </c>
      <c r="I79" s="11">
        <v>74.7</v>
      </c>
      <c r="J79" s="11">
        <v>87.3</v>
      </c>
      <c r="K79" s="11">
        <v>100</v>
      </c>
      <c r="L79" s="11">
        <v>1.270350877192983</v>
      </c>
      <c r="M79" t="s">
        <v>670</v>
      </c>
      <c r="N79" s="11">
        <v>0.2</v>
      </c>
      <c r="O79" s="11">
        <v>6300</v>
      </c>
      <c r="P79" s="11">
        <v>37800</v>
      </c>
    </row>
    <row r="80" spans="1:16" x14ac:dyDescent="0.25">
      <c r="A80" t="s">
        <v>330</v>
      </c>
      <c r="B80" t="s">
        <v>580</v>
      </c>
      <c r="C80" t="s">
        <v>579</v>
      </c>
      <c r="D80">
        <v>33500</v>
      </c>
      <c r="E80">
        <v>530000</v>
      </c>
      <c r="F80" s="11">
        <v>538200</v>
      </c>
      <c r="G80" s="11">
        <v>92.2</v>
      </c>
      <c r="H80" s="11">
        <v>98.6</v>
      </c>
      <c r="I80" s="11">
        <v>81.900000000000006</v>
      </c>
      <c r="J80" s="11">
        <v>71.900000000000006</v>
      </c>
      <c r="K80" s="11">
        <v>93</v>
      </c>
      <c r="L80" s="11">
        <v>1.015471698113207</v>
      </c>
      <c r="M80" t="s">
        <v>668</v>
      </c>
      <c r="N80" s="11">
        <v>0.1</v>
      </c>
      <c r="O80" s="11">
        <v>3350</v>
      </c>
      <c r="P80" s="11">
        <v>36850</v>
      </c>
    </row>
    <row r="81" spans="1:16" x14ac:dyDescent="0.25">
      <c r="A81" t="s">
        <v>47</v>
      </c>
      <c r="B81" t="s">
        <v>581</v>
      </c>
      <c r="C81" t="s">
        <v>579</v>
      </c>
      <c r="D81">
        <v>37500</v>
      </c>
      <c r="E81">
        <v>890000</v>
      </c>
      <c r="F81" s="11">
        <v>1157300</v>
      </c>
      <c r="G81" s="11">
        <v>87</v>
      </c>
      <c r="H81" s="11">
        <v>91.6</v>
      </c>
      <c r="I81" s="11">
        <v>84.1</v>
      </c>
      <c r="J81" s="11">
        <v>71.900000000000006</v>
      </c>
      <c r="K81" s="11">
        <v>100</v>
      </c>
      <c r="L81" s="11">
        <v>1.300337078651685</v>
      </c>
      <c r="M81" t="s">
        <v>670</v>
      </c>
      <c r="N81" s="11">
        <v>0.2</v>
      </c>
      <c r="O81" s="11">
        <v>7500</v>
      </c>
      <c r="P81" s="11">
        <v>45000</v>
      </c>
    </row>
    <row r="82" spans="1:16" x14ac:dyDescent="0.25">
      <c r="A82" t="s">
        <v>87</v>
      </c>
      <c r="B82" t="s">
        <v>582</v>
      </c>
      <c r="C82" t="s">
        <v>579</v>
      </c>
      <c r="D82">
        <v>45500</v>
      </c>
      <c r="E82">
        <v>670000</v>
      </c>
      <c r="F82" s="11">
        <v>783900</v>
      </c>
      <c r="G82" s="11">
        <v>68.8</v>
      </c>
      <c r="H82" s="11">
        <v>93.1</v>
      </c>
      <c r="I82" s="11">
        <v>82.4</v>
      </c>
      <c r="J82" s="11">
        <v>92.3</v>
      </c>
      <c r="K82" s="11">
        <v>97.8</v>
      </c>
      <c r="L82" s="11">
        <v>1.17</v>
      </c>
      <c r="M82" t="s">
        <v>672</v>
      </c>
      <c r="N82" s="11">
        <v>0.15</v>
      </c>
      <c r="O82" s="11">
        <v>6825</v>
      </c>
      <c r="P82" s="11">
        <v>52325</v>
      </c>
    </row>
    <row r="83" spans="1:16" x14ac:dyDescent="0.25">
      <c r="A83" t="s">
        <v>109</v>
      </c>
      <c r="B83" t="s">
        <v>583</v>
      </c>
      <c r="C83" t="s">
        <v>579</v>
      </c>
      <c r="D83">
        <v>33500</v>
      </c>
      <c r="E83">
        <v>860000</v>
      </c>
      <c r="F83" s="11">
        <v>859300</v>
      </c>
      <c r="G83" s="11">
        <v>87.7</v>
      </c>
      <c r="H83" s="11">
        <v>93.9</v>
      </c>
      <c r="I83" s="11">
        <v>79.7</v>
      </c>
      <c r="J83" s="11">
        <v>84.7</v>
      </c>
      <c r="K83" s="11">
        <v>92.6</v>
      </c>
      <c r="L83" s="11">
        <v>0.9991860465116279</v>
      </c>
      <c r="M83" t="s">
        <v>671</v>
      </c>
      <c r="N83" s="11">
        <v>0.05</v>
      </c>
      <c r="O83" s="11">
        <v>1675</v>
      </c>
      <c r="P83" s="11">
        <v>35175</v>
      </c>
    </row>
    <row r="84" spans="1:16" x14ac:dyDescent="0.25">
      <c r="A84" t="s">
        <v>55</v>
      </c>
      <c r="B84" t="s">
        <v>584</v>
      </c>
      <c r="C84" t="s">
        <v>579</v>
      </c>
      <c r="D84">
        <v>31000</v>
      </c>
      <c r="E84">
        <v>630000</v>
      </c>
      <c r="F84" s="11">
        <v>596000</v>
      </c>
      <c r="G84" s="11">
        <v>66.8</v>
      </c>
      <c r="H84" s="11">
        <v>90.9</v>
      </c>
      <c r="I84" s="11">
        <v>82.4</v>
      </c>
      <c r="J84" s="11">
        <v>82</v>
      </c>
      <c r="K84" s="11">
        <v>85.6</v>
      </c>
      <c r="L84" s="11">
        <v>0.946031746031746</v>
      </c>
      <c r="M84" t="s">
        <v>671</v>
      </c>
      <c r="N84" s="11">
        <v>0.05</v>
      </c>
      <c r="O84" s="11">
        <v>1550</v>
      </c>
      <c r="P84" s="11">
        <v>32550</v>
      </c>
    </row>
    <row r="85" spans="1:16" x14ac:dyDescent="0.25">
      <c r="A85" t="s">
        <v>381</v>
      </c>
      <c r="B85" t="s">
        <v>585</v>
      </c>
      <c r="C85" t="s">
        <v>579</v>
      </c>
      <c r="D85">
        <v>39000</v>
      </c>
      <c r="E85">
        <v>720000</v>
      </c>
      <c r="F85" s="11">
        <v>685400</v>
      </c>
      <c r="G85" s="11">
        <v>79.099999999999994</v>
      </c>
      <c r="H85" s="11">
        <v>90.5</v>
      </c>
      <c r="I85" s="11">
        <v>75.099999999999994</v>
      </c>
      <c r="J85" s="11">
        <v>81.5</v>
      </c>
      <c r="K85" s="11">
        <v>87.4</v>
      </c>
      <c r="L85" s="11">
        <v>0.95194444444444448</v>
      </c>
      <c r="M85" t="s">
        <v>671</v>
      </c>
      <c r="N85" s="11">
        <v>0.05</v>
      </c>
      <c r="O85" s="11">
        <v>1950</v>
      </c>
      <c r="P85" s="11">
        <v>40950</v>
      </c>
    </row>
    <row r="86" spans="1:16" x14ac:dyDescent="0.25">
      <c r="A86" t="s">
        <v>371</v>
      </c>
      <c r="B86" t="s">
        <v>586</v>
      </c>
      <c r="C86" t="s">
        <v>579</v>
      </c>
      <c r="D86">
        <v>42000</v>
      </c>
      <c r="E86">
        <v>760000</v>
      </c>
      <c r="F86" s="11">
        <v>745500</v>
      </c>
      <c r="G86" s="11">
        <v>85.5</v>
      </c>
      <c r="H86" s="11">
        <v>93.3</v>
      </c>
      <c r="I86" s="11">
        <v>69.7</v>
      </c>
      <c r="J86" s="11">
        <v>72.8</v>
      </c>
      <c r="K86" s="11">
        <v>88.5</v>
      </c>
      <c r="L86" s="11">
        <v>0.98092105263157892</v>
      </c>
      <c r="M86" t="s">
        <v>671</v>
      </c>
      <c r="N86" s="11">
        <v>0.05</v>
      </c>
      <c r="O86" s="11">
        <v>2100</v>
      </c>
      <c r="P86" s="11">
        <v>44100</v>
      </c>
    </row>
    <row r="87" spans="1:16" x14ac:dyDescent="0.25">
      <c r="A87" t="s">
        <v>261</v>
      </c>
      <c r="B87" t="s">
        <v>587</v>
      </c>
      <c r="C87" t="s">
        <v>579</v>
      </c>
      <c r="D87">
        <v>35000</v>
      </c>
      <c r="E87">
        <v>520000</v>
      </c>
      <c r="F87" s="11">
        <v>752700</v>
      </c>
      <c r="G87" s="11">
        <v>71.8</v>
      </c>
      <c r="H87" s="11">
        <v>91.9</v>
      </c>
      <c r="I87" s="11">
        <v>85.2</v>
      </c>
      <c r="J87" s="11">
        <v>86.9</v>
      </c>
      <c r="K87" s="11">
        <v>100</v>
      </c>
      <c r="L87" s="11">
        <v>1.4475</v>
      </c>
      <c r="M87" t="s">
        <v>670</v>
      </c>
      <c r="N87" s="11">
        <v>0.2</v>
      </c>
      <c r="O87" s="11">
        <v>7000</v>
      </c>
      <c r="P87" s="11">
        <v>42000</v>
      </c>
    </row>
    <row r="88" spans="1:16" x14ac:dyDescent="0.25">
      <c r="A88" t="s">
        <v>276</v>
      </c>
      <c r="B88" t="s">
        <v>588</v>
      </c>
      <c r="C88" t="s">
        <v>579</v>
      </c>
      <c r="D88">
        <v>42000</v>
      </c>
      <c r="E88">
        <v>700000</v>
      </c>
      <c r="F88" s="11">
        <v>751600</v>
      </c>
      <c r="G88" s="11">
        <v>78</v>
      </c>
      <c r="H88" s="11">
        <v>95</v>
      </c>
      <c r="I88" s="11">
        <v>80.599999999999994</v>
      </c>
      <c r="J88" s="11">
        <v>81.5</v>
      </c>
      <c r="K88" s="11">
        <v>93.7</v>
      </c>
      <c r="L88" s="11">
        <v>1.0737142857142861</v>
      </c>
      <c r="M88" t="s">
        <v>668</v>
      </c>
      <c r="N88" s="11">
        <v>0.1</v>
      </c>
      <c r="O88" s="11">
        <v>4200</v>
      </c>
      <c r="P88" s="11">
        <v>46200</v>
      </c>
    </row>
    <row r="89" spans="1:16" x14ac:dyDescent="0.25">
      <c r="A89" t="s">
        <v>216</v>
      </c>
      <c r="B89" t="s">
        <v>589</v>
      </c>
      <c r="C89" t="s">
        <v>590</v>
      </c>
      <c r="D89">
        <v>32000</v>
      </c>
      <c r="E89">
        <v>580000</v>
      </c>
      <c r="F89" s="11">
        <v>594000</v>
      </c>
      <c r="G89" s="11">
        <v>91.5</v>
      </c>
      <c r="H89" s="11">
        <v>93.9</v>
      </c>
      <c r="I89" s="11">
        <v>79.8</v>
      </c>
      <c r="J89" s="11">
        <v>92.5</v>
      </c>
      <c r="K89" s="11">
        <v>95.6</v>
      </c>
      <c r="L89" s="11">
        <v>1.0241379310344829</v>
      </c>
      <c r="M89" t="s">
        <v>668</v>
      </c>
      <c r="N89" s="11">
        <v>0.1</v>
      </c>
      <c r="O89" s="11">
        <v>3200</v>
      </c>
      <c r="P89" s="11">
        <v>35200</v>
      </c>
    </row>
    <row r="90" spans="1:16" x14ac:dyDescent="0.25">
      <c r="A90" t="s">
        <v>194</v>
      </c>
      <c r="B90" t="s">
        <v>591</v>
      </c>
      <c r="C90" t="s">
        <v>590</v>
      </c>
      <c r="D90">
        <v>39000</v>
      </c>
      <c r="E90">
        <v>640000</v>
      </c>
      <c r="F90" s="11">
        <v>737900</v>
      </c>
      <c r="G90" s="11">
        <v>96.3</v>
      </c>
      <c r="H90" s="11">
        <v>87</v>
      </c>
      <c r="I90" s="11">
        <v>89.1</v>
      </c>
      <c r="J90" s="11">
        <v>88.8</v>
      </c>
      <c r="K90" s="11">
        <v>100</v>
      </c>
      <c r="L90" s="11">
        <v>1.1529687500000001</v>
      </c>
      <c r="M90" t="s">
        <v>672</v>
      </c>
      <c r="N90" s="11">
        <v>0.15</v>
      </c>
      <c r="O90" s="11">
        <v>5850</v>
      </c>
      <c r="P90" s="11">
        <v>44850</v>
      </c>
    </row>
    <row r="91" spans="1:16" x14ac:dyDescent="0.25">
      <c r="A91" t="s">
        <v>592</v>
      </c>
      <c r="B91" t="s">
        <v>593</v>
      </c>
      <c r="C91" t="s">
        <v>590</v>
      </c>
      <c r="D91">
        <v>29000</v>
      </c>
      <c r="E91">
        <v>460000</v>
      </c>
      <c r="F91" s="11">
        <v>377500</v>
      </c>
      <c r="G91" s="11">
        <v>84.3</v>
      </c>
      <c r="H91" s="11">
        <v>98.2</v>
      </c>
      <c r="I91" s="11">
        <v>71.7</v>
      </c>
      <c r="J91" s="11">
        <v>87.5</v>
      </c>
      <c r="K91" s="11">
        <v>83.9</v>
      </c>
      <c r="L91" s="11">
        <v>0.82065217391304346</v>
      </c>
      <c r="M91" t="s">
        <v>669</v>
      </c>
      <c r="N91" s="11">
        <v>0</v>
      </c>
      <c r="O91" s="11">
        <v>0</v>
      </c>
      <c r="P91" s="11">
        <v>29000</v>
      </c>
    </row>
    <row r="92" spans="1:16" x14ac:dyDescent="0.25">
      <c r="A92" t="s">
        <v>342</v>
      </c>
      <c r="B92" t="s">
        <v>594</v>
      </c>
      <c r="C92" t="s">
        <v>590</v>
      </c>
      <c r="D92">
        <v>36000</v>
      </c>
      <c r="E92">
        <v>740000</v>
      </c>
      <c r="F92" s="11">
        <v>841300</v>
      </c>
      <c r="G92" s="11">
        <v>72.400000000000006</v>
      </c>
      <c r="H92" s="11">
        <v>93.4</v>
      </c>
      <c r="I92" s="11">
        <v>83</v>
      </c>
      <c r="J92" s="11">
        <v>77.599999999999994</v>
      </c>
      <c r="K92" s="11">
        <v>94.9</v>
      </c>
      <c r="L92" s="11">
        <v>1.136891891891892</v>
      </c>
      <c r="M92" t="s">
        <v>672</v>
      </c>
      <c r="N92" s="11">
        <v>0.15</v>
      </c>
      <c r="O92" s="11">
        <v>5400</v>
      </c>
      <c r="P92" s="11">
        <v>41400</v>
      </c>
    </row>
    <row r="93" spans="1:16" x14ac:dyDescent="0.25">
      <c r="A93" t="s">
        <v>595</v>
      </c>
      <c r="B93" t="s">
        <v>596</v>
      </c>
      <c r="C93" t="s">
        <v>590</v>
      </c>
      <c r="D93">
        <v>39500</v>
      </c>
      <c r="E93">
        <v>540000</v>
      </c>
      <c r="F93" s="11">
        <v>443700</v>
      </c>
      <c r="G93" s="11">
        <v>80.8</v>
      </c>
      <c r="H93" s="11">
        <v>97.2</v>
      </c>
      <c r="I93" s="11">
        <v>86.4</v>
      </c>
      <c r="J93" s="11">
        <v>77.099999999999994</v>
      </c>
      <c r="K93" s="11">
        <v>83.1</v>
      </c>
      <c r="L93" s="11">
        <v>0.82166666666666666</v>
      </c>
      <c r="M93" t="s">
        <v>669</v>
      </c>
      <c r="N93" s="11">
        <v>0</v>
      </c>
      <c r="O93" s="11">
        <v>0</v>
      </c>
      <c r="P93" s="11">
        <v>39500</v>
      </c>
    </row>
    <row r="94" spans="1:16" x14ac:dyDescent="0.25">
      <c r="A94" t="s">
        <v>236</v>
      </c>
      <c r="B94" t="s">
        <v>597</v>
      </c>
      <c r="C94" t="s">
        <v>590</v>
      </c>
      <c r="D94">
        <v>33500</v>
      </c>
      <c r="E94">
        <v>720000</v>
      </c>
      <c r="F94" s="11">
        <v>790100</v>
      </c>
      <c r="G94" s="11">
        <v>74.5</v>
      </c>
      <c r="H94" s="11">
        <v>87.6</v>
      </c>
      <c r="I94" s="11">
        <v>76.3</v>
      </c>
      <c r="J94" s="11">
        <v>93</v>
      </c>
      <c r="K94" s="11">
        <v>94.6</v>
      </c>
      <c r="L94" s="11">
        <v>1.097361111111111</v>
      </c>
      <c r="M94" t="s">
        <v>668</v>
      </c>
      <c r="N94" s="11">
        <v>0.1</v>
      </c>
      <c r="O94" s="11">
        <v>3350</v>
      </c>
      <c r="P94" s="11">
        <v>36850</v>
      </c>
    </row>
    <row r="95" spans="1:16" x14ac:dyDescent="0.25">
      <c r="A95" t="s">
        <v>598</v>
      </c>
      <c r="B95" t="s">
        <v>599</v>
      </c>
      <c r="C95" t="s">
        <v>590</v>
      </c>
      <c r="D95">
        <v>27500</v>
      </c>
      <c r="E95">
        <v>610000</v>
      </c>
      <c r="F95" s="11">
        <v>669800</v>
      </c>
      <c r="G95" s="11">
        <v>82</v>
      </c>
      <c r="H95" s="11">
        <v>92.3</v>
      </c>
      <c r="I95" s="11">
        <v>76.099999999999994</v>
      </c>
      <c r="J95" s="11">
        <v>84.9</v>
      </c>
      <c r="K95" s="11">
        <v>95.4</v>
      </c>
      <c r="L95" s="11">
        <v>1.098032786885246</v>
      </c>
      <c r="M95" t="s">
        <v>668</v>
      </c>
      <c r="N95" s="11">
        <v>0.1</v>
      </c>
      <c r="O95" s="11">
        <v>2750</v>
      </c>
      <c r="P95" s="11">
        <v>30250</v>
      </c>
    </row>
    <row r="96" spans="1:16" x14ac:dyDescent="0.25">
      <c r="A96" t="s">
        <v>97</v>
      </c>
      <c r="B96" t="s">
        <v>600</v>
      </c>
      <c r="C96" t="s">
        <v>590</v>
      </c>
      <c r="D96">
        <v>32000</v>
      </c>
      <c r="E96">
        <v>560000</v>
      </c>
      <c r="F96" s="11">
        <v>441100</v>
      </c>
      <c r="G96" s="11">
        <v>78.900000000000006</v>
      </c>
      <c r="H96" s="11">
        <v>93.1</v>
      </c>
      <c r="I96" s="11">
        <v>66.5</v>
      </c>
      <c r="J96" s="11">
        <v>77.3</v>
      </c>
      <c r="K96" s="11">
        <v>78.8</v>
      </c>
      <c r="L96" s="11">
        <v>0.78767857142857145</v>
      </c>
      <c r="M96" t="s">
        <v>669</v>
      </c>
      <c r="N96" s="11">
        <v>0</v>
      </c>
      <c r="O96" s="11">
        <v>0</v>
      </c>
      <c r="P96" s="11">
        <v>32000</v>
      </c>
    </row>
    <row r="97" spans="1:16" x14ac:dyDescent="0.25">
      <c r="A97" t="s">
        <v>601</v>
      </c>
      <c r="B97" t="s">
        <v>602</v>
      </c>
      <c r="C97" t="s">
        <v>590</v>
      </c>
      <c r="D97">
        <v>33000</v>
      </c>
      <c r="E97">
        <v>530000</v>
      </c>
      <c r="F97" s="11">
        <v>558600</v>
      </c>
      <c r="G97" s="11">
        <v>82.1</v>
      </c>
      <c r="H97" s="11">
        <v>92.8</v>
      </c>
      <c r="I97" s="11">
        <v>70.900000000000006</v>
      </c>
      <c r="J97" s="11">
        <v>96.6</v>
      </c>
      <c r="K97" s="11">
        <v>94.7</v>
      </c>
      <c r="L97" s="11">
        <v>1.053962264150943</v>
      </c>
      <c r="M97" t="s">
        <v>668</v>
      </c>
      <c r="N97" s="11">
        <v>0.1</v>
      </c>
      <c r="O97" s="11">
        <v>3300</v>
      </c>
      <c r="P97" s="11">
        <v>36300</v>
      </c>
    </row>
    <row r="100" spans="1:16" ht="18.75" x14ac:dyDescent="0.3">
      <c r="A100" s="1" t="s">
        <v>673</v>
      </c>
    </row>
    <row r="101" spans="1:16" x14ac:dyDescent="0.25">
      <c r="A101" s="10" t="s">
        <v>480</v>
      </c>
      <c r="B101" s="10" t="s">
        <v>674</v>
      </c>
      <c r="C101" s="10" t="s">
        <v>675</v>
      </c>
      <c r="D101" s="10" t="s">
        <v>676</v>
      </c>
      <c r="E101" s="10" t="s">
        <v>677</v>
      </c>
      <c r="F101" s="10" t="s">
        <v>678</v>
      </c>
      <c r="G101" s="10" t="s">
        <v>679</v>
      </c>
    </row>
    <row r="102" spans="1:16" x14ac:dyDescent="0.25">
      <c r="A102" t="s">
        <v>590</v>
      </c>
      <c r="B102">
        <v>9</v>
      </c>
      <c r="C102" s="11">
        <v>91.22</v>
      </c>
      <c r="D102" s="11">
        <v>0.999</v>
      </c>
      <c r="E102">
        <v>301500</v>
      </c>
      <c r="F102" s="11">
        <v>23850</v>
      </c>
      <c r="G102" s="11">
        <v>606000</v>
      </c>
    </row>
    <row r="103" spans="1:16" x14ac:dyDescent="0.25">
      <c r="A103" t="s">
        <v>520</v>
      </c>
      <c r="B103">
        <v>12</v>
      </c>
      <c r="C103" s="11">
        <v>90.89</v>
      </c>
      <c r="D103" s="11">
        <v>1.0109999999999999</v>
      </c>
      <c r="E103">
        <v>456500</v>
      </c>
      <c r="F103" s="11">
        <v>41600</v>
      </c>
      <c r="G103" s="11">
        <v>1124191.666666667</v>
      </c>
    </row>
    <row r="104" spans="1:16" x14ac:dyDescent="0.25">
      <c r="A104" t="s">
        <v>547</v>
      </c>
      <c r="B104">
        <v>8</v>
      </c>
      <c r="C104" s="11">
        <v>87.65</v>
      </c>
      <c r="D104" s="11">
        <v>0.92600000000000005</v>
      </c>
      <c r="E104">
        <v>312500</v>
      </c>
      <c r="F104" s="11">
        <v>15325</v>
      </c>
      <c r="G104" s="11">
        <v>699600</v>
      </c>
    </row>
    <row r="105" spans="1:16" x14ac:dyDescent="0.25">
      <c r="A105" t="s">
        <v>535</v>
      </c>
      <c r="B105">
        <v>10</v>
      </c>
      <c r="C105" s="11">
        <v>91.77</v>
      </c>
      <c r="D105" s="11">
        <v>1.0229999999999999</v>
      </c>
      <c r="E105">
        <v>499500</v>
      </c>
      <c r="F105" s="11">
        <v>42975</v>
      </c>
      <c r="G105" s="11">
        <v>769470</v>
      </c>
    </row>
    <row r="106" spans="1:16" x14ac:dyDescent="0.25">
      <c r="A106" t="s">
        <v>579</v>
      </c>
      <c r="B106">
        <v>10</v>
      </c>
      <c r="C106" s="11">
        <v>93.86</v>
      </c>
      <c r="D106" s="11">
        <v>1.1160000000000001</v>
      </c>
      <c r="E106">
        <v>370500</v>
      </c>
      <c r="F106" s="11">
        <v>42450</v>
      </c>
      <c r="G106" s="11">
        <v>759400</v>
      </c>
    </row>
    <row r="107" spans="1:16" x14ac:dyDescent="0.25">
      <c r="A107" t="s">
        <v>478</v>
      </c>
      <c r="B107">
        <v>18</v>
      </c>
      <c r="C107" s="11">
        <v>90.04</v>
      </c>
      <c r="D107" s="11">
        <v>1.0089999999999999</v>
      </c>
      <c r="E107">
        <v>712500</v>
      </c>
      <c r="F107" s="11">
        <v>63050</v>
      </c>
      <c r="G107" s="11">
        <v>849727.77777777775</v>
      </c>
    </row>
    <row r="108" spans="1:16" x14ac:dyDescent="0.25">
      <c r="A108" t="s">
        <v>485</v>
      </c>
      <c r="B108">
        <v>28</v>
      </c>
      <c r="C108" s="11">
        <v>89.95</v>
      </c>
      <c r="D108" s="11">
        <v>0.99099999999999999</v>
      </c>
      <c r="E108">
        <v>1044000</v>
      </c>
      <c r="F108" s="11">
        <v>81850</v>
      </c>
      <c r="G108" s="11">
        <v>947296.42857142852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showGridLines="0" workbookViewId="0"/>
  </sheetViews>
  <sheetFormatPr defaultRowHeight="15" x14ac:dyDescent="0.25"/>
  <cols>
    <col min="1" max="1" width="24" customWidth="1"/>
    <col min="2" max="2" width="75" customWidth="1"/>
    <col min="3" max="3" width="45" customWidth="1"/>
  </cols>
  <sheetData>
    <row r="1" spans="1:3" x14ac:dyDescent="0.25">
      <c r="A1" s="12" t="s">
        <v>680</v>
      </c>
      <c r="B1" s="12" t="s">
        <v>681</v>
      </c>
      <c r="C1" s="12" t="s">
        <v>682</v>
      </c>
    </row>
    <row r="2" spans="1:3" x14ac:dyDescent="0.25">
      <c r="A2" s="9" t="s">
        <v>683</v>
      </c>
      <c r="B2" s="9" t="str">
        <f>TRIM(C2)</f>
        <v>ลบช่องว่างหน้า/ท้าย</v>
      </c>
      <c r="C2" s="9" t="s">
        <v>684</v>
      </c>
    </row>
    <row r="3" spans="1:3" x14ac:dyDescent="0.25">
      <c r="A3" s="9" t="s">
        <v>685</v>
      </c>
      <c r="B3" s="9" t="str">
        <f>PROPER(TRIM(L2))</f>
        <v/>
      </c>
      <c r="C3" s="9" t="s">
        <v>686</v>
      </c>
    </row>
    <row r="4" spans="1:3" x14ac:dyDescent="0.25">
      <c r="A4" s="9" t="s">
        <v>687</v>
      </c>
      <c r="B4" s="9" t="e">
        <f>VLOOKUP(C2,'02_Employees'!$A$2:$F$96,2,FALSE)</f>
        <v>#N/A</v>
      </c>
      <c r="C4" s="9" t="s">
        <v>688</v>
      </c>
    </row>
    <row r="5" spans="1:3" x14ac:dyDescent="0.25">
      <c r="A5" s="9" t="s">
        <v>689</v>
      </c>
      <c r="B5" s="9" t="e">
        <f>VLOOKUP(C2,'02_Employees'!$A$2:$F$96,3,FALSE)</f>
        <v>#N/A</v>
      </c>
      <c r="C5" s="9" t="s">
        <v>690</v>
      </c>
    </row>
    <row r="6" spans="1:3" x14ac:dyDescent="0.25">
      <c r="A6" s="9" t="s">
        <v>691</v>
      </c>
      <c r="B6" s="9" t="e">
        <f>VLOOKUP(D2,Customers!$A$2:$E$51,2,FALSE)</f>
        <v>#N/A</v>
      </c>
      <c r="C6" s="9" t="s">
        <v>692</v>
      </c>
    </row>
    <row r="7" spans="1:3" x14ac:dyDescent="0.25">
      <c r="A7" s="9" t="s">
        <v>693</v>
      </c>
      <c r="B7" s="9" t="e">
        <f>VLOOKUP(E2,'02_Products'!$A$2:$E$21,2,FALSE)</f>
        <v>#N/A</v>
      </c>
      <c r="C7" s="9" t="s">
        <v>694</v>
      </c>
    </row>
    <row r="8" spans="1:3" x14ac:dyDescent="0.25">
      <c r="A8" s="9" t="s">
        <v>695</v>
      </c>
      <c r="B8" s="9"/>
      <c r="C8" s="9" t="s">
        <v>696</v>
      </c>
    </row>
    <row r="9" spans="1:3" x14ac:dyDescent="0.25">
      <c r="A9" s="9" t="s">
        <v>697</v>
      </c>
      <c r="B9" s="9">
        <f>IF(H2=0,0,J2/H2)</f>
        <v>0</v>
      </c>
      <c r="C9" s="9" t="s">
        <v>698</v>
      </c>
    </row>
    <row r="10" spans="1:3" x14ac:dyDescent="0.25">
      <c r="A10" s="9" t="s">
        <v>699</v>
      </c>
      <c r="B10" s="9"/>
      <c r="C10" s="9" t="s">
        <v>700</v>
      </c>
    </row>
    <row r="11" spans="1:3" x14ac:dyDescent="0.25">
      <c r="A11" s="9" t="s">
        <v>701</v>
      </c>
      <c r="B11" s="9"/>
      <c r="C11" s="9" t="s">
        <v>702</v>
      </c>
    </row>
    <row r="12" spans="1:3" x14ac:dyDescent="0.25">
      <c r="A12" s="9" t="s">
        <v>703</v>
      </c>
      <c r="B12" s="9" t="e">
        <f>F2/E2</f>
        <v>#DIV/0!</v>
      </c>
      <c r="C12" s="9" t="s">
        <v>704</v>
      </c>
    </row>
    <row r="13" spans="1:3" x14ac:dyDescent="0.25">
      <c r="A13" s="9" t="s">
        <v>705</v>
      </c>
      <c r="B13" s="9" t="str">
        <f>IF(L2&lt;90%,"Below Target",IF(L2&lt;100%,"Near Target",IF(L2&lt;110%,"Meets Target",IF(L2&lt;120%,"Exceeds Target","Outstanding"))))</f>
        <v>Below Target</v>
      </c>
      <c r="C13" s="9" t="s">
        <v>706</v>
      </c>
    </row>
    <row r="14" spans="1:3" x14ac:dyDescent="0.25">
      <c r="A14" s="9" t="s">
        <v>707</v>
      </c>
      <c r="B14" s="9">
        <f>D2*M2</f>
        <v>0</v>
      </c>
      <c r="C14" s="9" t="s">
        <v>708</v>
      </c>
    </row>
    <row r="15" spans="1:3" x14ac:dyDescent="0.25">
      <c r="A15" s="9" t="s">
        <v>709</v>
      </c>
      <c r="B15" s="9" t="e">
        <f>INDEX('02_Employees'!$B$2:$B$96,MATCH(C2,'02_Employees'!$A$2:$A$96,0))</f>
        <v>#N/A</v>
      </c>
      <c r="C15" s="9" t="s">
        <v>710</v>
      </c>
    </row>
    <row r="16" spans="1:3" x14ac:dyDescent="0.25">
      <c r="A16" s="9" t="s">
        <v>711</v>
      </c>
      <c r="B16" s="9" t="s">
        <v>712</v>
      </c>
      <c r="C16" s="9" t="s">
        <v>713</v>
      </c>
    </row>
    <row r="17" spans="1:3" x14ac:dyDescent="0.25">
      <c r="A17" s="9" t="s">
        <v>714</v>
      </c>
      <c r="B17" s="9" t="s">
        <v>715</v>
      </c>
      <c r="C17" s="9" t="s">
        <v>716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/>
  </sheetViews>
  <sheetFormatPr defaultRowHeight="15" x14ac:dyDescent="0.25"/>
  <cols>
    <col min="1" max="1" width="30" customWidth="1"/>
    <col min="2" max="2" width="100" customWidth="1"/>
  </cols>
  <sheetData>
    <row r="1" spans="1:2" x14ac:dyDescent="0.25">
      <c r="A1" s="12" t="s">
        <v>717</v>
      </c>
      <c r="B1" s="12" t="s">
        <v>718</v>
      </c>
    </row>
    <row r="2" spans="1:2" x14ac:dyDescent="0.25">
      <c r="A2" s="9" t="s">
        <v>719</v>
      </c>
      <c r="B2" s="9" t="s">
        <v>720</v>
      </c>
    </row>
    <row r="3" spans="1:2" x14ac:dyDescent="0.25">
      <c r="A3" s="9" t="s">
        <v>721</v>
      </c>
      <c r="B3" s="9" t="s">
        <v>722</v>
      </c>
    </row>
    <row r="4" spans="1:2" x14ac:dyDescent="0.25">
      <c r="A4" s="9" t="s">
        <v>723</v>
      </c>
      <c r="B4" s="9" t="s">
        <v>724</v>
      </c>
    </row>
    <row r="5" spans="1:2" x14ac:dyDescent="0.25">
      <c r="A5" s="9" t="s">
        <v>725</v>
      </c>
      <c r="B5" s="9" t="s">
        <v>726</v>
      </c>
    </row>
    <row r="6" spans="1:2" x14ac:dyDescent="0.25">
      <c r="A6" s="9" t="s">
        <v>727</v>
      </c>
      <c r="B6" s="9" t="s">
        <v>728</v>
      </c>
    </row>
    <row r="7" spans="1:2" x14ac:dyDescent="0.25">
      <c r="A7" s="9" t="s">
        <v>729</v>
      </c>
      <c r="B7" s="9" t="s">
        <v>730</v>
      </c>
    </row>
    <row r="8" spans="1:2" x14ac:dyDescent="0.25">
      <c r="A8" s="9" t="s">
        <v>731</v>
      </c>
      <c r="B8" s="9" t="s">
        <v>732</v>
      </c>
    </row>
    <row r="9" spans="1:2" ht="30" x14ac:dyDescent="0.25">
      <c r="A9" s="9" t="s">
        <v>733</v>
      </c>
      <c r="B9" s="9" t="s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19</vt:i4>
      </vt:variant>
    </vt:vector>
  </HeadingPairs>
  <TitlesOfParts>
    <vt:vector size="19" baseType="lpstr">
      <vt:lpstr>Guide</vt:lpstr>
      <vt:lpstr>02_Raw_Sales</vt:lpstr>
      <vt:lpstr>02_Products</vt:lpstr>
      <vt:lpstr>02_Employees</vt:lpstr>
      <vt:lpstr>02_Raw_Performance</vt:lpstr>
      <vt:lpstr>02_Overhead_Costs</vt:lpstr>
      <vt:lpstr>Sales</vt:lpstr>
      <vt:lpstr>Employees</vt:lpstr>
      <vt:lpstr>Customers</vt:lpstr>
      <vt:lpstr>Products</vt:lpstr>
      <vt:lpstr>Overhead_Costs</vt:lpstr>
      <vt:lpstr>Performance_KPI</vt:lpstr>
      <vt:lpstr>Questions</vt:lpstr>
      <vt:lpstr>Worksheet</vt:lpstr>
      <vt:lpstr>Workspace</vt:lpstr>
      <vt:lpstr>04_Answer_Cleaned</vt:lpstr>
      <vt:lpstr>05_Answer_KPI</vt:lpstr>
      <vt:lpstr>06_Answer_Formulas</vt:lpstr>
      <vt:lpstr>07_Answer_Charts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Piyawat Suksabai</cp:lastModifiedBy>
  <dcterms:created xsi:type="dcterms:W3CDTF">2026-08-22T03:33:13Z</dcterms:created>
  <dcterms:modified xsi:type="dcterms:W3CDTF">2026-09-12T08:45:25Z</dcterms:modified>
</cp:coreProperties>
</file>